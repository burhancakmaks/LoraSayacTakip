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rha\OneDrive\Masaüstü\LoraSayacTakip\data\"/>
    </mc:Choice>
  </mc:AlternateContent>
  <bookViews>
    <workbookView xWindow="0" yWindow="0" windowWidth="21570" windowHeight="8070" firstSheet="1" activeTab="1"/>
  </bookViews>
  <sheets>
    <sheet name="Genel Tablolar" sheetId="1" state="hidden" r:id="rId1"/>
    <sheet name="Bağımsız Birim" sheetId="3" r:id="rId2"/>
  </sheets>
  <definedNames>
    <definedName name="_xlnm.Print_Area" localSheetId="1">'Bağımsız Birim'!$A$1:$G$367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6" i="1" l="1"/>
  <c r="G81" i="1"/>
  <c r="F81" i="1"/>
  <c r="E81" i="1"/>
  <c r="D81" i="1"/>
  <c r="G79" i="1" l="1"/>
  <c r="F79" i="1"/>
  <c r="E79" i="1"/>
  <c r="E97" i="1" s="1"/>
  <c r="G78" i="1"/>
  <c r="F78" i="1"/>
  <c r="F96" i="1" s="1"/>
  <c r="E78" i="1"/>
  <c r="E96" i="1" s="1"/>
  <c r="G77" i="1"/>
  <c r="G95" i="1" s="1"/>
  <c r="F77" i="1"/>
  <c r="F95" i="1" s="1"/>
  <c r="E77" i="1"/>
  <c r="D76" i="1"/>
  <c r="D94" i="1" s="1"/>
  <c r="H81" i="1"/>
  <c r="H82" i="1"/>
  <c r="H83" i="1"/>
  <c r="H84" i="1"/>
  <c r="H85" i="1"/>
  <c r="D86" i="1"/>
  <c r="E86" i="1"/>
  <c r="F86" i="1"/>
  <c r="H87" i="1"/>
  <c r="H88" i="1"/>
  <c r="H89" i="1"/>
  <c r="H90" i="1"/>
  <c r="H91" i="1"/>
  <c r="D92" i="1"/>
  <c r="E92" i="1"/>
  <c r="F92" i="1"/>
  <c r="G92" i="1"/>
  <c r="E93" i="1"/>
  <c r="G97" i="1"/>
  <c r="E76" i="1"/>
  <c r="E94" i="1" s="1"/>
  <c r="F94" i="1"/>
  <c r="G76" i="1"/>
  <c r="G94" i="1" s="1"/>
  <c r="F75" i="1"/>
  <c r="F93" i="1" s="1"/>
  <c r="G75" i="1"/>
  <c r="G93" i="1" s="1"/>
  <c r="E75" i="1"/>
  <c r="H70" i="1"/>
  <c r="H69" i="1"/>
  <c r="D49" i="1"/>
  <c r="D48" i="1"/>
  <c r="D47" i="1"/>
  <c r="D50" i="1" l="1"/>
  <c r="H92" i="1"/>
  <c r="C21" i="1" s="1"/>
  <c r="H86" i="1"/>
  <c r="G86" i="1"/>
  <c r="H94" i="1"/>
  <c r="H41" i="1"/>
  <c r="L35" i="1"/>
  <c r="L36" i="1"/>
  <c r="L37" i="1"/>
  <c r="H44" i="1" l="1"/>
  <c r="H43" i="1"/>
  <c r="D62" i="1"/>
  <c r="C62" i="1"/>
  <c r="C63" i="1"/>
  <c r="C64" i="1"/>
  <c r="E54" i="1"/>
  <c r="G55" i="1"/>
  <c r="F55" i="1"/>
  <c r="E55" i="1"/>
  <c r="D55" i="1"/>
  <c r="G56" i="1"/>
  <c r="F56" i="1"/>
  <c r="E56" i="1"/>
  <c r="D56" i="1"/>
  <c r="H55" i="1" l="1"/>
  <c r="D54" i="1"/>
  <c r="G62" i="1"/>
  <c r="C49" i="1"/>
  <c r="D63" i="1"/>
  <c r="G63" i="1" s="1"/>
  <c r="H56" i="1"/>
  <c r="C48" i="1"/>
  <c r="C47" i="1"/>
  <c r="C50" i="1"/>
  <c r="D75" i="1" l="1"/>
  <c r="D93" i="1" s="1"/>
  <c r="H93" i="1" s="1"/>
  <c r="D61" i="1"/>
  <c r="C61" i="1"/>
  <c r="G57" i="1"/>
  <c r="F57" i="1"/>
  <c r="E57" i="1"/>
  <c r="D57" i="1"/>
  <c r="G54" i="1"/>
  <c r="F54" i="1"/>
  <c r="H54" i="1" l="1"/>
  <c r="D79" i="1"/>
  <c r="D97" i="1" s="1"/>
  <c r="D78" i="1"/>
  <c r="D96" i="1" s="1"/>
  <c r="E95" i="1"/>
  <c r="D77" i="1"/>
  <c r="D95" i="1" s="1"/>
  <c r="H75" i="1"/>
  <c r="H95" i="1" l="1"/>
  <c r="H76" i="1"/>
  <c r="H77" i="1"/>
  <c r="G72" i="1"/>
  <c r="E72" i="1"/>
  <c r="F72" i="1"/>
  <c r="D72" i="1"/>
  <c r="C22" i="1" s="1"/>
  <c r="C72" i="1"/>
  <c r="H71" i="1"/>
  <c r="H68" i="1"/>
  <c r="H72" i="1" l="1"/>
  <c r="C23" i="1" s="1"/>
  <c r="G96" i="1"/>
  <c r="H96" i="1" s="1"/>
  <c r="F97" i="1"/>
  <c r="H97" i="1" s="1"/>
  <c r="C32" i="1"/>
  <c r="I38" i="1"/>
  <c r="I35" i="1"/>
  <c r="H42" i="1"/>
  <c r="F80" i="1" l="1"/>
  <c r="F98" i="1" s="1"/>
  <c r="H79" i="1"/>
  <c r="G80" i="1"/>
  <c r="G98" i="1" s="1"/>
  <c r="H78" i="1"/>
  <c r="G61" i="1"/>
  <c r="C51" i="1"/>
  <c r="H80" i="1" l="1"/>
  <c r="H98" i="1" l="1"/>
  <c r="G58" i="1"/>
  <c r="H57" i="1"/>
  <c r="F65" i="1"/>
  <c r="E65" i="1"/>
  <c r="D80" i="1"/>
  <c r="D98" i="1" s="1"/>
  <c r="E80" i="1"/>
  <c r="E98" i="1" s="1"/>
  <c r="D108" i="1" l="1"/>
  <c r="C104" i="1" s="1"/>
  <c r="C18" i="1"/>
  <c r="D117" i="1"/>
  <c r="C113" i="1" s="1"/>
  <c r="D113" i="1" s="1"/>
  <c r="D65" i="1"/>
  <c r="C58" i="1"/>
  <c r="C20" i="1" l="1"/>
  <c r="C19" i="1"/>
  <c r="D51" i="1"/>
  <c r="C65" i="1"/>
  <c r="G65" i="1" s="1"/>
  <c r="D58" i="1"/>
  <c r="F58" i="1"/>
  <c r="C29" i="1" l="1"/>
  <c r="C31" i="1" s="1"/>
  <c r="E58" i="1"/>
  <c r="H58" i="1" s="1"/>
  <c r="C28" i="1" s="1"/>
  <c r="G64" i="1" l="1"/>
  <c r="C30" i="1" l="1"/>
</calcChain>
</file>

<file path=xl/sharedStrings.xml><?xml version="1.0" encoding="utf-8"?>
<sst xmlns="http://schemas.openxmlformats.org/spreadsheetml/2006/main" count="1724" uniqueCount="578">
  <si>
    <t>İL</t>
  </si>
  <si>
    <t xml:space="preserve">MALATYA </t>
  </si>
  <si>
    <t>İLÇE</t>
  </si>
  <si>
    <t>BATTALGAZİ</t>
  </si>
  <si>
    <t>MAHALLE</t>
  </si>
  <si>
    <t>DABAKHANE</t>
  </si>
  <si>
    <t>KÖY</t>
  </si>
  <si>
    <t xml:space="preserve">SOKAK </t>
  </si>
  <si>
    <t>PAFTA NO</t>
  </si>
  <si>
    <t xml:space="preserve">ADA NO </t>
  </si>
  <si>
    <t>PARSEL NO</t>
  </si>
  <si>
    <t>YAPININ CİNSİ VE NEVİ</t>
  </si>
  <si>
    <t>ARSA ALAN</t>
  </si>
  <si>
    <t>H MAX</t>
  </si>
  <si>
    <t>TAKS</t>
  </si>
  <si>
    <t>EMSAL</t>
  </si>
  <si>
    <t>KULLANILAN YAPI OTURUM ALANI</t>
  </si>
  <si>
    <t>KULLANILAN İNŞAAT ALANI</t>
  </si>
  <si>
    <t>BLOK ADEDİ</t>
  </si>
  <si>
    <t>BAGIMSIZ BÖLÜM SAYISI</t>
  </si>
  <si>
    <t>TOPLAM BAGIMSIZ BÖLÜM BRÜT ALAN</t>
  </si>
  <si>
    <t>TOPLAM İNŞAAT ALANI</t>
  </si>
  <si>
    <t xml:space="preserve">TOPLAM ORTAK ALAN </t>
  </si>
  <si>
    <t>TOPLAM TABAN ALANI</t>
  </si>
  <si>
    <t>0.00 KOTU</t>
  </si>
  <si>
    <t>SB KOTU</t>
  </si>
  <si>
    <t>TEMEL ÜST KOTU</t>
  </si>
  <si>
    <t>SON KAT TAVAN DÖŞEME ÜST KOTU</t>
  </si>
  <si>
    <t xml:space="preserve">YOL KOTU ALTI
KAT SAYISI </t>
  </si>
  <si>
    <t xml:space="preserve">YOL KOTU ÜSTÜ
KAT SAYISI </t>
  </si>
  <si>
    <t xml:space="preserve">TOPLAM
KAT SAYISI </t>
  </si>
  <si>
    <t>YOL KOTU ALTI
YÜKSEKLİK</t>
  </si>
  <si>
    <t>YOL KOTU ÜSTÜ
YÜKSEKLİK</t>
  </si>
  <si>
    <t>TOPLAM
YÜKSEKLİK</t>
  </si>
  <si>
    <t>BODRUM KAT YÜKSEKLİK</t>
  </si>
  <si>
    <t>ZEMİN KAT YÜKSEKLİK</t>
  </si>
  <si>
    <t>1.KAT YÜKSEKLİK</t>
  </si>
  <si>
    <t>TOPLAM YÜKSEKLİK</t>
  </si>
  <si>
    <t>TOPLAM BAĞIMSIZ
BÖLÜM SAYISI</t>
  </si>
  <si>
    <t>TOPLAM</t>
  </si>
  <si>
    <t>EMSAL ALANI</t>
  </si>
  <si>
    <t>ZEMİN KAT</t>
  </si>
  <si>
    <t>DÜKKAN SAYISI</t>
  </si>
  <si>
    <t>KONUT SAYISI</t>
  </si>
  <si>
    <t>OTEL SAYISI</t>
  </si>
  <si>
    <t>1. BODRUM KAT
İNŞAAT ALANI</t>
  </si>
  <si>
    <t>ZEMİN  KAT                 
İNŞAAT ALANI</t>
  </si>
  <si>
    <t>1. KAT                          
İNŞAAT ALANI</t>
  </si>
  <si>
    <t>BAĞIMSIZ BÖLÜMLER</t>
  </si>
  <si>
    <t>KAT YÜKSEKLİKLERİ</t>
  </si>
  <si>
    <t>YAPI KOTLARI</t>
  </si>
  <si>
    <t>İNŞAAT ALANI</t>
  </si>
  <si>
    <t>BLOK</t>
  </si>
  <si>
    <t>BAĞIMSIZ BÖLÜM NO</t>
  </si>
  <si>
    <t>KAT</t>
  </si>
  <si>
    <t>NİTELİĞİ</t>
  </si>
  <si>
    <t>DÜKKAN</t>
  </si>
  <si>
    <t>TOPLAM BAĞIMSIZ
BÖLÜM BRÜT ALANI</t>
  </si>
  <si>
    <t>KAT BRÜT ALANI</t>
  </si>
  <si>
    <t>1. BODRUM KAT</t>
  </si>
  <si>
    <t>ZEMİN  KAT</t>
  </si>
  <si>
    <t>1. KAT</t>
  </si>
  <si>
    <t>%30 DAHİLİ EMSAL HARİCİ ALANLAR</t>
  </si>
  <si>
    <t>EMSAL HARİCİ ALANLAR</t>
  </si>
  <si>
    <t>EMSAL HESABI</t>
  </si>
  <si>
    <t>OTOPARK HESABI</t>
  </si>
  <si>
    <t>SIĞINAK HESABI</t>
  </si>
  <si>
    <t>GEREKLİ OTOPARK SAYISI</t>
  </si>
  <si>
    <t>GEREKLİ SIĞINAK ALANI</t>
  </si>
  <si>
    <t>SAĞLANAN SIĞINAK ALANI</t>
  </si>
  <si>
    <t>NOT : PARSELLERİN OTOPARK İHTİYACI PLAN NOTU DOĞRULTUSUNDA  İLGİLİ İDARENİN UYGUN GÖRDÜĞÜ ALANLARDA SAĞLANACAKTIR.</t>
  </si>
  <si>
    <t>KULLANILABİLİR EMSAL İNŞAAT ALANI</t>
  </si>
  <si>
    <t>KULLANILABİLİR %30 DAHİLİ EMSAL HARİCİ İNŞAAT ALANI</t>
  </si>
  <si>
    <t>KULLANILAN EMSAL İNŞAAT ALANI</t>
  </si>
  <si>
    <t>KULLANILAN %30 DAHİLİ EMSAL HARİCİ İNŞAAT ALANI</t>
  </si>
  <si>
    <t>MALATYA MERKEZ 2.ETAP 1.KISIM
KONUT VE TİCARET İNŞAATI İLE ALTYAPI VE ÇEVRE DÜZENLEME İŞİ</t>
  </si>
  <si>
    <t>TOPLAM BAĞIMSIZ BÖLÜM SAYISI</t>
  </si>
  <si>
    <t>1. BODRUM KAT
BAĞIMSIZ BÖLÜM SAYISI</t>
  </si>
  <si>
    <t>ZEMİN  KAT 
BAĞIMSIZ BÖLÜM SAYISI</t>
  </si>
  <si>
    <t>1. KAT 
BAĞIMSIZ BÖLÜM SAYISI</t>
  </si>
  <si>
    <t>TOPLAM
BAĞIMSIZ BÖLÜM SAYISI</t>
  </si>
  <si>
    <t>OFİS SAYISI</t>
  </si>
  <si>
    <t>BAĞIMSIZ BÖLÜM SAYISI</t>
  </si>
  <si>
    <t>TİCARET EMSAL ALANI</t>
  </si>
  <si>
    <t>TOPLAM EMSAL ALANI</t>
  </si>
  <si>
    <t xml:space="preserve">  YAPININ TEKNİK ÖZELLİKLERİ</t>
  </si>
  <si>
    <t xml:space="preserve">  ISITMA SİSTEMİ</t>
  </si>
  <si>
    <t>Merkezi Isıtmalı Kalorifer</t>
  </si>
  <si>
    <t xml:space="preserve">  ISITMA AMAÇLI KULLANILAN YAKIT CİNSİ</t>
  </si>
  <si>
    <t>Doğalgaz</t>
  </si>
  <si>
    <t xml:space="preserve">  SICAK SU TEMİN ŞEKLİ</t>
  </si>
  <si>
    <t>Termosifon(Elektrikli)</t>
  </si>
  <si>
    <t xml:space="preserve">  SICAK SU YAKIT CİNSİ</t>
  </si>
  <si>
    <t>Elektrik</t>
  </si>
  <si>
    <t xml:space="preserve">  İÇME SUYU</t>
  </si>
  <si>
    <t>Su deposu+Hidrofor</t>
  </si>
  <si>
    <t xml:space="preserve">  ATIK SU</t>
  </si>
  <si>
    <t>Terfi Pompaları+Rögarlar</t>
  </si>
  <si>
    <t xml:space="preserve">  YAPININ TAŞIYICI SİSTEMİ</t>
  </si>
  <si>
    <t>Betonarme Çerçeveli Sistem</t>
  </si>
  <si>
    <t xml:space="preserve">  DUVAR DOLGU MADDESİ CİNSİ</t>
  </si>
  <si>
    <t>-</t>
  </si>
  <si>
    <t xml:space="preserve">  DÖŞEME</t>
  </si>
  <si>
    <t>Kirişli Plak Döşeme</t>
  </si>
  <si>
    <t xml:space="preserve">  PARSEL DIŞI OTOPARK</t>
  </si>
  <si>
    <t xml:space="preserve">  TESİSATLAR (OLANLAR)</t>
  </si>
  <si>
    <t xml:space="preserve">  DOĞALGAZ :</t>
  </si>
  <si>
    <t>Mevcut</t>
  </si>
  <si>
    <t xml:space="preserve">  ELEKTRİK:</t>
  </si>
  <si>
    <t xml:space="preserve">  HABERLEŞME:</t>
  </si>
  <si>
    <t xml:space="preserve">  PİS SU:</t>
  </si>
  <si>
    <t xml:space="preserve">  TEMİZ SU:</t>
  </si>
  <si>
    <t xml:space="preserve">  HİDROFOR:</t>
  </si>
  <si>
    <t xml:space="preserve">  JENERATÖR:</t>
  </si>
  <si>
    <t xml:space="preserve">  PARATONER:</t>
  </si>
  <si>
    <t xml:space="preserve">  YANGIN TESİSATI:</t>
  </si>
  <si>
    <t xml:space="preserve">  ORTAK KULLANIM ALANLARI (OLANLAR)</t>
  </si>
  <si>
    <t xml:space="preserve">  ASANSÖR:</t>
  </si>
  <si>
    <t xml:space="preserve">  AÇIK OTOPARK:</t>
  </si>
  <si>
    <t xml:space="preserve">  SIĞINAK:</t>
  </si>
  <si>
    <t xml:space="preserve">  SU DEPOSU:</t>
  </si>
  <si>
    <t>Betonarme Ticari</t>
  </si>
  <si>
    <t>2. KAT 
BAĞIMSIZ BÖLÜM SAYISI</t>
  </si>
  <si>
    <t>2.KAT YÜKSEKLİK</t>
  </si>
  <si>
    <t>2. KAT</t>
  </si>
  <si>
    <t>2. KAT                          
İNŞAAT ALANI</t>
  </si>
  <si>
    <t>SAĞLANAN OTOPARK SAYISI</t>
  </si>
  <si>
    <t>3. KAT</t>
  </si>
  <si>
    <t>3. KAT                          
İNŞAAT ALANI</t>
  </si>
  <si>
    <t>3. KAT 
BAĞIMSIZ BÖLÜM SAYISI</t>
  </si>
  <si>
    <t>3.KAT YÜKSEKLİK</t>
  </si>
  <si>
    <t>A BLOK</t>
  </si>
  <si>
    <t>B BLOK</t>
  </si>
  <si>
    <t>OFİS</t>
  </si>
  <si>
    <t>TİCARET-OFİS EMSAL ALANI / 50</t>
  </si>
  <si>
    <t>TİCARET-OFİS EMSAL ALANI / 20</t>
  </si>
  <si>
    <t>D BLOK</t>
  </si>
  <si>
    <t>C BLOK</t>
  </si>
  <si>
    <t>MALATYA 41-134 ADA BAĞIMSIZ BÖLÜM TABLOSU</t>
  </si>
  <si>
    <t>(20) YİRMİ ADET BAĞIMSIZ BÖLÜMDEN OLUŞMAKTADIR.</t>
  </si>
  <si>
    <t>(120) YÜZ YİRMİ ADET BAĞIMSIZ BÖLÜMDEN OLUŞMAKTADIR.</t>
  </si>
  <si>
    <t xml:space="preserve">ZEMİN KAT </t>
  </si>
  <si>
    <t>(74) YETMİŞ DÖRT ADET BAĞIMSIZ BÖLÜMDEN OLUŞMAKTADIR.</t>
  </si>
  <si>
    <t>41-134 ADA</t>
  </si>
  <si>
    <t>41 - 134 ADA</t>
  </si>
  <si>
    <t>(110) YÜZ ON ADET BAĞIMSIZ BÖLÜMDEN OLUŞMAKTADIR.</t>
  </si>
  <si>
    <t>sayacno</t>
  </si>
  <si>
    <t>02995735</t>
  </si>
  <si>
    <t>02995733</t>
  </si>
  <si>
    <t>02995734</t>
  </si>
  <si>
    <t>02995736</t>
  </si>
  <si>
    <t>02995737</t>
  </si>
  <si>
    <t>02995157</t>
  </si>
  <si>
    <t>02995153</t>
  </si>
  <si>
    <t>02995192</t>
  </si>
  <si>
    <t>02995188</t>
  </si>
  <si>
    <t>02995155</t>
  </si>
  <si>
    <t>02995156</t>
  </si>
  <si>
    <t>02995748</t>
  </si>
  <si>
    <t>02995749</t>
  </si>
  <si>
    <t>02995750</t>
  </si>
  <si>
    <t>02995751</t>
  </si>
  <si>
    <t>02995276</t>
  </si>
  <si>
    <t>02995277</t>
  </si>
  <si>
    <t>02995275</t>
  </si>
  <si>
    <t>02995273</t>
  </si>
  <si>
    <t>02995752</t>
  </si>
  <si>
    <t>02995274</t>
  </si>
  <si>
    <t>02995712</t>
  </si>
  <si>
    <t>02996114</t>
  </si>
  <si>
    <t>02995711</t>
  </si>
  <si>
    <t>02995710</t>
  </si>
  <si>
    <t>02995708</t>
  </si>
  <si>
    <t>02995709</t>
  </si>
  <si>
    <t>02996559</t>
  </si>
  <si>
    <t>02996701</t>
  </si>
  <si>
    <t>02996562</t>
  </si>
  <si>
    <t>02996558</t>
  </si>
  <si>
    <t>02996560</t>
  </si>
  <si>
    <t>02996113</t>
  </si>
  <si>
    <t>02996117</t>
  </si>
  <si>
    <t>02996115</t>
  </si>
  <si>
    <t>02995522</t>
  </si>
  <si>
    <t>02995518</t>
  </si>
  <si>
    <t>02995519</t>
  </si>
  <si>
    <t>02995458</t>
  </si>
  <si>
    <t>02995520</t>
  </si>
  <si>
    <t>02995521</t>
  </si>
  <si>
    <t>02996116</t>
  </si>
  <si>
    <t>02995408</t>
  </si>
  <si>
    <t>02995683</t>
  </si>
  <si>
    <t>02995684</t>
  </si>
  <si>
    <t>02995685</t>
  </si>
  <si>
    <t>02995686</t>
  </si>
  <si>
    <t>02995687</t>
  </si>
  <si>
    <t>02995716</t>
  </si>
  <si>
    <t>02995717</t>
  </si>
  <si>
    <t>02995715</t>
  </si>
  <si>
    <t>02995714</t>
  </si>
  <si>
    <t>02995713</t>
  </si>
  <si>
    <t>02995398</t>
  </si>
  <si>
    <t>02995738</t>
  </si>
  <si>
    <t>02995399</t>
  </si>
  <si>
    <t>02995400</t>
  </si>
  <si>
    <t>02995401</t>
  </si>
  <si>
    <t>02995402</t>
  </si>
  <si>
    <t>02996481</t>
  </si>
  <si>
    <t>02996482</t>
  </si>
  <si>
    <t>02996480</t>
  </si>
  <si>
    <t>02996478</t>
  </si>
  <si>
    <t>02996687</t>
  </si>
  <si>
    <t>02996257</t>
  </si>
  <si>
    <t>02995177</t>
  </si>
  <si>
    <t>02996256</t>
  </si>
  <si>
    <t>02996255</t>
  </si>
  <si>
    <t>02996254</t>
  </si>
  <si>
    <t>02996479</t>
  </si>
  <si>
    <t>02996518</t>
  </si>
  <si>
    <t>02996519</t>
  </si>
  <si>
    <t>02996520</t>
  </si>
  <si>
    <t>02996521</t>
  </si>
  <si>
    <t>02996522</t>
  </si>
  <si>
    <t>02996542</t>
  </si>
  <si>
    <t>02995174</t>
  </si>
  <si>
    <t>02995176</t>
  </si>
  <si>
    <t>02995175</t>
  </si>
  <si>
    <t>02995173</t>
  </si>
  <si>
    <t>02995657</t>
  </si>
  <si>
    <t>02995655</t>
  </si>
  <si>
    <t>02995656</t>
  </si>
  <si>
    <t>02995493</t>
  </si>
  <si>
    <t>02995514</t>
  </si>
  <si>
    <t>02995494</t>
  </si>
  <si>
    <t>02995515</t>
  </si>
  <si>
    <t>02995516</t>
  </si>
  <si>
    <t>02995517</t>
  </si>
  <si>
    <t>02995614</t>
  </si>
  <si>
    <t>02995513</t>
  </si>
  <si>
    <t>02995613</t>
  </si>
  <si>
    <t>02995739</t>
  </si>
  <si>
    <t>02995740</t>
  </si>
  <si>
    <t>02995741</t>
  </si>
  <si>
    <t>02995742</t>
  </si>
  <si>
    <t>02995497</t>
  </si>
  <si>
    <t>02995496</t>
  </si>
  <si>
    <t>02995495</t>
  </si>
  <si>
    <t>02996541</t>
  </si>
  <si>
    <t>02996540</t>
  </si>
  <si>
    <t>02996538</t>
  </si>
  <si>
    <t>02996539</t>
  </si>
  <si>
    <t>02996533</t>
  </si>
  <si>
    <t>02995474</t>
  </si>
  <si>
    <t>02995476</t>
  </si>
  <si>
    <t>02995477</t>
  </si>
  <si>
    <t>02995617</t>
  </si>
  <si>
    <t>02995616</t>
  </si>
  <si>
    <t>02995615</t>
  </si>
  <si>
    <t>02995333</t>
  </si>
  <si>
    <t>02995461</t>
  </si>
  <si>
    <t>02995460</t>
  </si>
  <si>
    <t>02995462</t>
  </si>
  <si>
    <t>02995537</t>
  </si>
  <si>
    <t>02995536</t>
  </si>
  <si>
    <t>02995535</t>
  </si>
  <si>
    <t>02995534</t>
  </si>
  <si>
    <t>02995475</t>
  </si>
  <si>
    <t>02995411</t>
  </si>
  <si>
    <t>02995412</t>
  </si>
  <si>
    <t>02995191</t>
  </si>
  <si>
    <t>02995190</t>
  </si>
  <si>
    <t>02995189</t>
  </si>
  <si>
    <t>02995572</t>
  </si>
  <si>
    <t>02995569</t>
  </si>
  <si>
    <t>02995570</t>
  </si>
  <si>
    <t>02995568</t>
  </si>
  <si>
    <t>02995571</t>
  </si>
  <si>
    <t>02995473</t>
  </si>
  <si>
    <t>02996702</t>
  </si>
  <si>
    <t>02996700</t>
  </si>
  <si>
    <t>02996561</t>
  </si>
  <si>
    <t>02996698</t>
  </si>
  <si>
    <t>02996699</t>
  </si>
  <si>
    <t>02995621</t>
  </si>
  <si>
    <t>02995533</t>
  </si>
  <si>
    <t>02995487</t>
  </si>
  <si>
    <t>02995434</t>
  </si>
  <si>
    <t>02995622</t>
  </si>
  <si>
    <t>02996194</t>
  </si>
  <si>
    <t>02996195</t>
  </si>
  <si>
    <t>02995363</t>
  </si>
  <si>
    <t>02995364</t>
  </si>
  <si>
    <t>02995366</t>
  </si>
  <si>
    <t>02995367</t>
  </si>
  <si>
    <t>02995359</t>
  </si>
  <si>
    <t>02995433</t>
  </si>
  <si>
    <t>02995435</t>
  </si>
  <si>
    <t>02996734</t>
  </si>
  <si>
    <t>02995436</t>
  </si>
  <si>
    <t>02995584</t>
  </si>
  <si>
    <t>02995585</t>
  </si>
  <si>
    <t>02995437</t>
  </si>
  <si>
    <t>02995583</t>
  </si>
  <si>
    <t>02995586</t>
  </si>
  <si>
    <t>02995587</t>
  </si>
  <si>
    <t>02995416</t>
  </si>
  <si>
    <t>02995654</t>
  </si>
  <si>
    <t>02995417</t>
  </si>
  <si>
    <t>02995653</t>
  </si>
  <si>
    <t>02995415</t>
  </si>
  <si>
    <t>02995414</t>
  </si>
  <si>
    <t>02995413</t>
  </si>
  <si>
    <t>02995285</t>
  </si>
  <si>
    <t>02995287</t>
  </si>
  <si>
    <t>02996547</t>
  </si>
  <si>
    <t>02996277</t>
  </si>
  <si>
    <t>02996273</t>
  </si>
  <si>
    <t>02996275</t>
  </si>
  <si>
    <t>02996274</t>
  </si>
  <si>
    <t>02996196</t>
  </si>
  <si>
    <t>02996197</t>
  </si>
  <si>
    <t>02996193</t>
  </si>
  <si>
    <t>02996575</t>
  </si>
  <si>
    <t>02996573</t>
  </si>
  <si>
    <t>02996574</t>
  </si>
  <si>
    <t>02995463</t>
  </si>
  <si>
    <t>02996577</t>
  </si>
  <si>
    <t>02935284</t>
  </si>
  <si>
    <t>02995283</t>
  </si>
  <si>
    <t>02995286</t>
  </si>
  <si>
    <t>02996545</t>
  </si>
  <si>
    <t>02996543</t>
  </si>
  <si>
    <t>02996546</t>
  </si>
  <si>
    <t>02996544</t>
  </si>
  <si>
    <t>02995459</t>
  </si>
  <si>
    <t>02996733</t>
  </si>
  <si>
    <t>02996735</t>
  </si>
  <si>
    <t>02996572</t>
  </si>
  <si>
    <t>02996571</t>
  </si>
  <si>
    <t>02996569</t>
  </si>
  <si>
    <t>02996570</t>
  </si>
  <si>
    <t>02996568</t>
  </si>
  <si>
    <t>02996092</t>
  </si>
  <si>
    <t>02996090</t>
  </si>
  <si>
    <t>02996089</t>
  </si>
  <si>
    <t>02996091</t>
  </si>
  <si>
    <t>02996084</t>
  </si>
  <si>
    <t>02996086</t>
  </si>
  <si>
    <t>02996083</t>
  </si>
  <si>
    <t>02996737</t>
  </si>
  <si>
    <t>02996736</t>
  </si>
  <si>
    <t>02995358</t>
  </si>
  <si>
    <t>02996598</t>
  </si>
  <si>
    <t>02996599</t>
  </si>
  <si>
    <t>02995550</t>
  </si>
  <si>
    <t>02996557</t>
  </si>
  <si>
    <t>02996556</t>
  </si>
  <si>
    <t>02996555</t>
  </si>
  <si>
    <t>02996554</t>
  </si>
  <si>
    <t>02996553</t>
  </si>
  <si>
    <t>02996466</t>
  </si>
  <si>
    <t>02996465</t>
  </si>
  <si>
    <t>02996467</t>
  </si>
  <si>
    <t>02996464</t>
  </si>
  <si>
    <t>02996463</t>
  </si>
  <si>
    <t>02995361</t>
  </si>
  <si>
    <t>02995362</t>
  </si>
  <si>
    <t>02995360</t>
  </si>
  <si>
    <t>02996085</t>
  </si>
  <si>
    <t>02996309</t>
  </si>
  <si>
    <t>02995306</t>
  </si>
  <si>
    <t>02995575</t>
  </si>
  <si>
    <t>02995576</t>
  </si>
  <si>
    <t>02995573</t>
  </si>
  <si>
    <t>02995574</t>
  </si>
  <si>
    <t>02996530</t>
  </si>
  <si>
    <t>02996840</t>
  </si>
  <si>
    <t>02996842</t>
  </si>
  <si>
    <t>02996841</t>
  </si>
  <si>
    <t>02996839</t>
  </si>
  <si>
    <t>02996838</t>
  </si>
  <si>
    <t>02996632</t>
  </si>
  <si>
    <t>02996631</t>
  </si>
  <si>
    <t>02996628</t>
  </si>
  <si>
    <t>02996685</t>
  </si>
  <si>
    <t>02996684</t>
  </si>
  <si>
    <t>02996630</t>
  </si>
  <si>
    <t>02995307</t>
  </si>
  <si>
    <t>02995304</t>
  </si>
  <si>
    <t>02996529</t>
  </si>
  <si>
    <t>02996312</t>
  </si>
  <si>
    <t>02996528</t>
  </si>
  <si>
    <t>02996253</t>
  </si>
  <si>
    <t>02995303</t>
  </si>
  <si>
    <t>02996686</t>
  </si>
  <si>
    <t>02996629</t>
  </si>
  <si>
    <t>02996087</t>
  </si>
  <si>
    <t>02996311</t>
  </si>
  <si>
    <t>02995305</t>
  </si>
  <si>
    <t>02995577</t>
  </si>
  <si>
    <t>02996640</t>
  </si>
  <si>
    <t>02996639</t>
  </si>
  <si>
    <t>02996646</t>
  </si>
  <si>
    <t>02996645</t>
  </si>
  <si>
    <t>02996443</t>
  </si>
  <si>
    <t>02996644</t>
  </si>
  <si>
    <t>02995549</t>
  </si>
  <si>
    <t>02995551</t>
  </si>
  <si>
    <t>02995552</t>
  </si>
  <si>
    <t>02996657</t>
  </si>
  <si>
    <t>02996653</t>
  </si>
  <si>
    <t>02996638</t>
  </si>
  <si>
    <t>02996647</t>
  </si>
  <si>
    <t>02996654</t>
  </si>
  <si>
    <t>02996655</t>
  </si>
  <si>
    <t>02996656</t>
  </si>
  <si>
    <t>02996652</t>
  </si>
  <si>
    <t>02996651</t>
  </si>
  <si>
    <t>02996648</t>
  </si>
  <si>
    <t>02996649</t>
  </si>
  <si>
    <t>02996650</t>
  </si>
  <si>
    <t>02995467</t>
  </si>
  <si>
    <t>02995466</t>
  </si>
  <si>
    <t>02995465</t>
  </si>
  <si>
    <t>02995453</t>
  </si>
  <si>
    <t>02995454</t>
  </si>
  <si>
    <t>02995464</t>
  </si>
  <si>
    <t>02995455</t>
  </si>
  <si>
    <t>02995456</t>
  </si>
  <si>
    <t>02995457</t>
  </si>
  <si>
    <t>02996642</t>
  </si>
  <si>
    <t>02996641</t>
  </si>
  <si>
    <t>02995689</t>
  </si>
  <si>
    <t>02995688</t>
  </si>
  <si>
    <t>02995691</t>
  </si>
  <si>
    <t>02995690</t>
  </si>
  <si>
    <t>02995692</t>
  </si>
  <si>
    <t>02995648</t>
  </si>
  <si>
    <t>02995650</t>
  </si>
  <si>
    <t>02995649</t>
  </si>
  <si>
    <t>02995652</t>
  </si>
  <si>
    <t>02995651</t>
  </si>
  <si>
    <t>02995682</t>
  </si>
  <si>
    <t>02995681</t>
  </si>
  <si>
    <t>02995679</t>
  </si>
  <si>
    <t>02995680</t>
  </si>
  <si>
    <t>02995488</t>
  </si>
  <si>
    <t>02995489</t>
  </si>
  <si>
    <t>02995490</t>
  </si>
  <si>
    <t>02995491</t>
  </si>
  <si>
    <t>02995492</t>
  </si>
  <si>
    <t>02995678</t>
  </si>
  <si>
    <t>02996310</t>
  </si>
  <si>
    <t>02996308</t>
  </si>
  <si>
    <t>02995612</t>
  </si>
  <si>
    <t>02995611</t>
  </si>
  <si>
    <t>02995610</t>
  </si>
  <si>
    <t>02995608</t>
  </si>
  <si>
    <t>02995609</t>
  </si>
  <si>
    <t>WC 1</t>
  </si>
  <si>
    <t>WC 2</t>
  </si>
  <si>
    <t>02995409</t>
  </si>
  <si>
    <t>02995410</t>
  </si>
  <si>
    <t>02995336</t>
  </si>
  <si>
    <t>02995334</t>
  </si>
  <si>
    <t xml:space="preserve">2. KAT </t>
  </si>
  <si>
    <t xml:space="preserve">WC </t>
  </si>
  <si>
    <t>02995428</t>
  </si>
  <si>
    <t xml:space="preserve">3. KAT </t>
  </si>
  <si>
    <t>WC</t>
  </si>
  <si>
    <t>02995337</t>
  </si>
  <si>
    <t>02995335</t>
  </si>
  <si>
    <t>02995429</t>
  </si>
  <si>
    <t>02995430</t>
  </si>
  <si>
    <t>ÇAY OCAĞI</t>
  </si>
  <si>
    <t>02995365</t>
  </si>
  <si>
    <t>02996276</t>
  </si>
  <si>
    <t>BODRUM KAT</t>
  </si>
  <si>
    <t>03004526</t>
  </si>
  <si>
    <t>YANGIN SU DEPOSU</t>
  </si>
  <si>
    <t>03004532</t>
  </si>
  <si>
    <t>KULLANIM SUYU DEPOSU</t>
  </si>
  <si>
    <t>03004544</t>
  </si>
  <si>
    <t>YAĞMUR SU DEPOSU</t>
  </si>
  <si>
    <t>03004541</t>
  </si>
  <si>
    <t>02996808</t>
  </si>
  <si>
    <t>02996810</t>
  </si>
  <si>
    <t>02996809</t>
  </si>
  <si>
    <t>02996811</t>
  </si>
  <si>
    <t>02996812</t>
  </si>
  <si>
    <t>02996845</t>
  </si>
  <si>
    <t>02996846</t>
  </si>
  <si>
    <t>02996847</t>
  </si>
  <si>
    <t>02996843</t>
  </si>
  <si>
    <t>02996844</t>
  </si>
  <si>
    <t>A BLOK YENİ HAMAM MAH KELAM SOK DIŞ KAPI NO:2</t>
  </si>
  <si>
    <t>B BLOK  YENİ HAMAM MAH YEMENİCİLER SOK DIŞ KAPI NO 2</t>
  </si>
  <si>
    <t>C BLOK YENİ HAMAM MAHALLESİ BÜYÜK ÇARŞI CAD DIŞ KAPI NO: 9</t>
  </si>
  <si>
    <t>D BLOK YENİ HAMAM MAHALLESİ CEVAHİR SOK DIŞ KAPI NO: 2</t>
  </si>
  <si>
    <t>NUMARATAJ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</si>
  <si>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</si>
  <si>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</si>
  <si>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</si>
  <si>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</si>
  <si>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</si>
  <si>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</si>
  <si>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</si>
  <si>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</si>
  <si>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</si>
  <si>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2J</t>
  </si>
  <si>
    <t>2K</t>
  </si>
  <si>
    <t>4A</t>
  </si>
  <si>
    <t>4B</t>
  </si>
  <si>
    <t>4C</t>
  </si>
  <si>
    <t>4D</t>
  </si>
  <si>
    <t>4E</t>
  </si>
  <si>
    <t>4F</t>
  </si>
  <si>
    <t>4G</t>
  </si>
  <si>
    <t>9S</t>
  </si>
  <si>
    <t>9R</t>
  </si>
  <si>
    <t>9P</t>
  </si>
  <si>
    <t>9O</t>
  </si>
  <si>
    <t>9N</t>
  </si>
  <si>
    <t>9D</t>
  </si>
  <si>
    <t>9C</t>
  </si>
  <si>
    <t>9B</t>
  </si>
  <si>
    <t>9A</t>
  </si>
  <si>
    <t>9E</t>
  </si>
  <si>
    <t>9M</t>
  </si>
  <si>
    <t>9L</t>
  </si>
  <si>
    <t>9K</t>
  </si>
  <si>
    <t>9J</t>
  </si>
  <si>
    <t>9I</t>
  </si>
  <si>
    <t>9H</t>
  </si>
  <si>
    <t>9G</t>
  </si>
  <si>
    <t>9F</t>
  </si>
  <si>
    <t>3F</t>
  </si>
  <si>
    <t>3G</t>
  </si>
  <si>
    <t>3H</t>
  </si>
  <si>
    <t>3I</t>
  </si>
  <si>
    <t>3J</t>
  </si>
  <si>
    <t>3K</t>
  </si>
  <si>
    <t>3L</t>
  </si>
  <si>
    <t>3A</t>
  </si>
  <si>
    <t>3B</t>
  </si>
  <si>
    <t>3C</t>
  </si>
  <si>
    <t>3D</t>
  </si>
  <si>
    <t>3E</t>
  </si>
  <si>
    <t>8B</t>
  </si>
  <si>
    <t>8A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</si>
  <si>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</si>
  <si>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</si>
  <si>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</si>
  <si>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</si>
  <si>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</si>
  <si>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</si>
  <si>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</si>
  <si>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</si>
  <si>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</si>
  <si>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</si>
  <si>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</si>
  <si>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</si>
  <si>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</si>
  <si>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1N</t>
  </si>
  <si>
    <t>1O</t>
  </si>
  <si>
    <t>1P</t>
  </si>
  <si>
    <t>5B</t>
  </si>
  <si>
    <t>5C</t>
  </si>
  <si>
    <t>2N</t>
  </si>
  <si>
    <t>2M</t>
  </si>
  <si>
    <t>2L</t>
  </si>
  <si>
    <t>1Y</t>
  </si>
  <si>
    <t>1V</t>
  </si>
  <si>
    <t>1U</t>
  </si>
  <si>
    <t>1T</t>
  </si>
  <si>
    <t>1S</t>
  </si>
  <si>
    <t>1R</t>
  </si>
  <si>
    <t>5A</t>
  </si>
  <si>
    <t>ABONE NOSU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</si>
</sst>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\m\²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b/>
      <sz val="14"/>
      <color theme="1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9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 vertical="center"/>
    </xf>
    <xf numFmtId="0" fontId="0" fillId="0" borderId="0" xfId="0" applyBorder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3"/>
  <sheetViews>
    <sheetView zoomScale="80" zoomScaleNormal="80" workbookViewId="0">
      <selection activeCell="C11" sqref="C11"/>
    </sheetView>
  </sheetViews>
  <sheetFormatPr defaultRowHeight="12.75" x14ac:dyDescent="0.2"/>
  <cols>
    <col min="1" max="1" width="5.5703125" style="1" customWidth="1"/>
    <col min="2" max="2" width="50.5703125" style="1" customWidth="1"/>
    <col min="3" max="23" width="30.5703125" style="1" customWidth="1"/>
    <col min="24" max="256" width="9.140625" style="1"/>
    <col min="257" max="257" width="5.5703125" style="1" customWidth="1"/>
    <col min="258" max="258" width="40.5703125" style="1" customWidth="1"/>
    <col min="259" max="279" width="30.5703125" style="1" customWidth="1"/>
    <col min="280" max="512" width="9.140625" style="1"/>
    <col min="513" max="513" width="5.5703125" style="1" customWidth="1"/>
    <col min="514" max="514" width="40.5703125" style="1" customWidth="1"/>
    <col min="515" max="535" width="30.5703125" style="1" customWidth="1"/>
    <col min="536" max="768" width="9.140625" style="1"/>
    <col min="769" max="769" width="5.5703125" style="1" customWidth="1"/>
    <col min="770" max="770" width="40.5703125" style="1" customWidth="1"/>
    <col min="771" max="791" width="30.5703125" style="1" customWidth="1"/>
    <col min="792" max="1024" width="9.140625" style="1"/>
    <col min="1025" max="1025" width="5.5703125" style="1" customWidth="1"/>
    <col min="1026" max="1026" width="40.5703125" style="1" customWidth="1"/>
    <col min="1027" max="1047" width="30.5703125" style="1" customWidth="1"/>
    <col min="1048" max="1280" width="9.140625" style="1"/>
    <col min="1281" max="1281" width="5.5703125" style="1" customWidth="1"/>
    <col min="1282" max="1282" width="40.5703125" style="1" customWidth="1"/>
    <col min="1283" max="1303" width="30.5703125" style="1" customWidth="1"/>
    <col min="1304" max="1536" width="9.140625" style="1"/>
    <col min="1537" max="1537" width="5.5703125" style="1" customWidth="1"/>
    <col min="1538" max="1538" width="40.5703125" style="1" customWidth="1"/>
    <col min="1539" max="1559" width="30.5703125" style="1" customWidth="1"/>
    <col min="1560" max="1792" width="9.140625" style="1"/>
    <col min="1793" max="1793" width="5.5703125" style="1" customWidth="1"/>
    <col min="1794" max="1794" width="40.5703125" style="1" customWidth="1"/>
    <col min="1795" max="1815" width="30.5703125" style="1" customWidth="1"/>
    <col min="1816" max="2048" width="9.140625" style="1"/>
    <col min="2049" max="2049" width="5.5703125" style="1" customWidth="1"/>
    <col min="2050" max="2050" width="40.5703125" style="1" customWidth="1"/>
    <col min="2051" max="2071" width="30.5703125" style="1" customWidth="1"/>
    <col min="2072" max="2304" width="9.140625" style="1"/>
    <col min="2305" max="2305" width="5.5703125" style="1" customWidth="1"/>
    <col min="2306" max="2306" width="40.5703125" style="1" customWidth="1"/>
    <col min="2307" max="2327" width="30.5703125" style="1" customWidth="1"/>
    <col min="2328" max="2560" width="9.140625" style="1"/>
    <col min="2561" max="2561" width="5.5703125" style="1" customWidth="1"/>
    <col min="2562" max="2562" width="40.5703125" style="1" customWidth="1"/>
    <col min="2563" max="2583" width="30.5703125" style="1" customWidth="1"/>
    <col min="2584" max="2816" width="9.140625" style="1"/>
    <col min="2817" max="2817" width="5.5703125" style="1" customWidth="1"/>
    <col min="2818" max="2818" width="40.5703125" style="1" customWidth="1"/>
    <col min="2819" max="2839" width="30.5703125" style="1" customWidth="1"/>
    <col min="2840" max="3072" width="9.140625" style="1"/>
    <col min="3073" max="3073" width="5.5703125" style="1" customWidth="1"/>
    <col min="3074" max="3074" width="40.5703125" style="1" customWidth="1"/>
    <col min="3075" max="3095" width="30.5703125" style="1" customWidth="1"/>
    <col min="3096" max="3328" width="9.140625" style="1"/>
    <col min="3329" max="3329" width="5.5703125" style="1" customWidth="1"/>
    <col min="3330" max="3330" width="40.5703125" style="1" customWidth="1"/>
    <col min="3331" max="3351" width="30.5703125" style="1" customWidth="1"/>
    <col min="3352" max="3584" width="9.140625" style="1"/>
    <col min="3585" max="3585" width="5.5703125" style="1" customWidth="1"/>
    <col min="3586" max="3586" width="40.5703125" style="1" customWidth="1"/>
    <col min="3587" max="3607" width="30.5703125" style="1" customWidth="1"/>
    <col min="3608" max="3840" width="9.140625" style="1"/>
    <col min="3841" max="3841" width="5.5703125" style="1" customWidth="1"/>
    <col min="3842" max="3842" width="40.5703125" style="1" customWidth="1"/>
    <col min="3843" max="3863" width="30.5703125" style="1" customWidth="1"/>
    <col min="3864" max="4096" width="9.140625" style="1"/>
    <col min="4097" max="4097" width="5.5703125" style="1" customWidth="1"/>
    <col min="4098" max="4098" width="40.5703125" style="1" customWidth="1"/>
    <col min="4099" max="4119" width="30.5703125" style="1" customWidth="1"/>
    <col min="4120" max="4352" width="9.140625" style="1"/>
    <col min="4353" max="4353" width="5.5703125" style="1" customWidth="1"/>
    <col min="4354" max="4354" width="40.5703125" style="1" customWidth="1"/>
    <col min="4355" max="4375" width="30.5703125" style="1" customWidth="1"/>
    <col min="4376" max="4608" width="9.140625" style="1"/>
    <col min="4609" max="4609" width="5.5703125" style="1" customWidth="1"/>
    <col min="4610" max="4610" width="40.5703125" style="1" customWidth="1"/>
    <col min="4611" max="4631" width="30.5703125" style="1" customWidth="1"/>
    <col min="4632" max="4864" width="9.140625" style="1"/>
    <col min="4865" max="4865" width="5.5703125" style="1" customWidth="1"/>
    <col min="4866" max="4866" width="40.5703125" style="1" customWidth="1"/>
    <col min="4867" max="4887" width="30.5703125" style="1" customWidth="1"/>
    <col min="4888" max="5120" width="9.140625" style="1"/>
    <col min="5121" max="5121" width="5.5703125" style="1" customWidth="1"/>
    <col min="5122" max="5122" width="40.5703125" style="1" customWidth="1"/>
    <col min="5123" max="5143" width="30.5703125" style="1" customWidth="1"/>
    <col min="5144" max="5376" width="9.140625" style="1"/>
    <col min="5377" max="5377" width="5.5703125" style="1" customWidth="1"/>
    <col min="5378" max="5378" width="40.5703125" style="1" customWidth="1"/>
    <col min="5379" max="5399" width="30.5703125" style="1" customWidth="1"/>
    <col min="5400" max="5632" width="9.140625" style="1"/>
    <col min="5633" max="5633" width="5.5703125" style="1" customWidth="1"/>
    <col min="5634" max="5634" width="40.5703125" style="1" customWidth="1"/>
    <col min="5635" max="5655" width="30.5703125" style="1" customWidth="1"/>
    <col min="5656" max="5888" width="9.140625" style="1"/>
    <col min="5889" max="5889" width="5.5703125" style="1" customWidth="1"/>
    <col min="5890" max="5890" width="40.5703125" style="1" customWidth="1"/>
    <col min="5891" max="5911" width="30.5703125" style="1" customWidth="1"/>
    <col min="5912" max="6144" width="9.140625" style="1"/>
    <col min="6145" max="6145" width="5.5703125" style="1" customWidth="1"/>
    <col min="6146" max="6146" width="40.5703125" style="1" customWidth="1"/>
    <col min="6147" max="6167" width="30.5703125" style="1" customWidth="1"/>
    <col min="6168" max="6400" width="9.140625" style="1"/>
    <col min="6401" max="6401" width="5.5703125" style="1" customWidth="1"/>
    <col min="6402" max="6402" width="40.5703125" style="1" customWidth="1"/>
    <col min="6403" max="6423" width="30.5703125" style="1" customWidth="1"/>
    <col min="6424" max="6656" width="9.140625" style="1"/>
    <col min="6657" max="6657" width="5.5703125" style="1" customWidth="1"/>
    <col min="6658" max="6658" width="40.5703125" style="1" customWidth="1"/>
    <col min="6659" max="6679" width="30.5703125" style="1" customWidth="1"/>
    <col min="6680" max="6912" width="9.140625" style="1"/>
    <col min="6913" max="6913" width="5.5703125" style="1" customWidth="1"/>
    <col min="6914" max="6914" width="40.5703125" style="1" customWidth="1"/>
    <col min="6915" max="6935" width="30.5703125" style="1" customWidth="1"/>
    <col min="6936" max="7168" width="9.140625" style="1"/>
    <col min="7169" max="7169" width="5.5703125" style="1" customWidth="1"/>
    <col min="7170" max="7170" width="40.5703125" style="1" customWidth="1"/>
    <col min="7171" max="7191" width="30.5703125" style="1" customWidth="1"/>
    <col min="7192" max="7424" width="9.140625" style="1"/>
    <col min="7425" max="7425" width="5.5703125" style="1" customWidth="1"/>
    <col min="7426" max="7426" width="40.5703125" style="1" customWidth="1"/>
    <col min="7427" max="7447" width="30.5703125" style="1" customWidth="1"/>
    <col min="7448" max="7680" width="9.140625" style="1"/>
    <col min="7681" max="7681" width="5.5703125" style="1" customWidth="1"/>
    <col min="7682" max="7682" width="40.5703125" style="1" customWidth="1"/>
    <col min="7683" max="7703" width="30.5703125" style="1" customWidth="1"/>
    <col min="7704" max="7936" width="9.140625" style="1"/>
    <col min="7937" max="7937" width="5.5703125" style="1" customWidth="1"/>
    <col min="7938" max="7938" width="40.5703125" style="1" customWidth="1"/>
    <col min="7939" max="7959" width="30.5703125" style="1" customWidth="1"/>
    <col min="7960" max="8192" width="9.140625" style="1"/>
    <col min="8193" max="8193" width="5.5703125" style="1" customWidth="1"/>
    <col min="8194" max="8194" width="40.5703125" style="1" customWidth="1"/>
    <col min="8195" max="8215" width="30.5703125" style="1" customWidth="1"/>
    <col min="8216" max="8448" width="9.140625" style="1"/>
    <col min="8449" max="8449" width="5.5703125" style="1" customWidth="1"/>
    <col min="8450" max="8450" width="40.5703125" style="1" customWidth="1"/>
    <col min="8451" max="8471" width="30.5703125" style="1" customWidth="1"/>
    <col min="8472" max="8704" width="9.140625" style="1"/>
    <col min="8705" max="8705" width="5.5703125" style="1" customWidth="1"/>
    <col min="8706" max="8706" width="40.5703125" style="1" customWidth="1"/>
    <col min="8707" max="8727" width="30.5703125" style="1" customWidth="1"/>
    <col min="8728" max="8960" width="9.140625" style="1"/>
    <col min="8961" max="8961" width="5.5703125" style="1" customWidth="1"/>
    <col min="8962" max="8962" width="40.5703125" style="1" customWidth="1"/>
    <col min="8963" max="8983" width="30.5703125" style="1" customWidth="1"/>
    <col min="8984" max="9216" width="9.140625" style="1"/>
    <col min="9217" max="9217" width="5.5703125" style="1" customWidth="1"/>
    <col min="9218" max="9218" width="40.5703125" style="1" customWidth="1"/>
    <col min="9219" max="9239" width="30.5703125" style="1" customWidth="1"/>
    <col min="9240" max="9472" width="9.140625" style="1"/>
    <col min="9473" max="9473" width="5.5703125" style="1" customWidth="1"/>
    <col min="9474" max="9474" width="40.5703125" style="1" customWidth="1"/>
    <col min="9475" max="9495" width="30.5703125" style="1" customWidth="1"/>
    <col min="9496" max="9728" width="9.140625" style="1"/>
    <col min="9729" max="9729" width="5.5703125" style="1" customWidth="1"/>
    <col min="9730" max="9730" width="40.5703125" style="1" customWidth="1"/>
    <col min="9731" max="9751" width="30.5703125" style="1" customWidth="1"/>
    <col min="9752" max="9984" width="9.140625" style="1"/>
    <col min="9985" max="9985" width="5.5703125" style="1" customWidth="1"/>
    <col min="9986" max="9986" width="40.5703125" style="1" customWidth="1"/>
    <col min="9987" max="10007" width="30.5703125" style="1" customWidth="1"/>
    <col min="10008" max="10240" width="9.140625" style="1"/>
    <col min="10241" max="10241" width="5.5703125" style="1" customWidth="1"/>
    <col min="10242" max="10242" width="40.5703125" style="1" customWidth="1"/>
    <col min="10243" max="10263" width="30.5703125" style="1" customWidth="1"/>
    <col min="10264" max="10496" width="9.140625" style="1"/>
    <col min="10497" max="10497" width="5.5703125" style="1" customWidth="1"/>
    <col min="10498" max="10498" width="40.5703125" style="1" customWidth="1"/>
    <col min="10499" max="10519" width="30.5703125" style="1" customWidth="1"/>
    <col min="10520" max="10752" width="9.140625" style="1"/>
    <col min="10753" max="10753" width="5.5703125" style="1" customWidth="1"/>
    <col min="10754" max="10754" width="40.5703125" style="1" customWidth="1"/>
    <col min="10755" max="10775" width="30.5703125" style="1" customWidth="1"/>
    <col min="10776" max="11008" width="9.140625" style="1"/>
    <col min="11009" max="11009" width="5.5703125" style="1" customWidth="1"/>
    <col min="11010" max="11010" width="40.5703125" style="1" customWidth="1"/>
    <col min="11011" max="11031" width="30.5703125" style="1" customWidth="1"/>
    <col min="11032" max="11264" width="9.140625" style="1"/>
    <col min="11265" max="11265" width="5.5703125" style="1" customWidth="1"/>
    <col min="11266" max="11266" width="40.5703125" style="1" customWidth="1"/>
    <col min="11267" max="11287" width="30.5703125" style="1" customWidth="1"/>
    <col min="11288" max="11520" width="9.140625" style="1"/>
    <col min="11521" max="11521" width="5.5703125" style="1" customWidth="1"/>
    <col min="11522" max="11522" width="40.5703125" style="1" customWidth="1"/>
    <col min="11523" max="11543" width="30.5703125" style="1" customWidth="1"/>
    <col min="11544" max="11776" width="9.140625" style="1"/>
    <col min="11777" max="11777" width="5.5703125" style="1" customWidth="1"/>
    <col min="11778" max="11778" width="40.5703125" style="1" customWidth="1"/>
    <col min="11779" max="11799" width="30.5703125" style="1" customWidth="1"/>
    <col min="11800" max="12032" width="9.140625" style="1"/>
    <col min="12033" max="12033" width="5.5703125" style="1" customWidth="1"/>
    <col min="12034" max="12034" width="40.5703125" style="1" customWidth="1"/>
    <col min="12035" max="12055" width="30.5703125" style="1" customWidth="1"/>
    <col min="12056" max="12288" width="9.140625" style="1"/>
    <col min="12289" max="12289" width="5.5703125" style="1" customWidth="1"/>
    <col min="12290" max="12290" width="40.5703125" style="1" customWidth="1"/>
    <col min="12291" max="12311" width="30.5703125" style="1" customWidth="1"/>
    <col min="12312" max="12544" width="9.140625" style="1"/>
    <col min="12545" max="12545" width="5.5703125" style="1" customWidth="1"/>
    <col min="12546" max="12546" width="40.5703125" style="1" customWidth="1"/>
    <col min="12547" max="12567" width="30.5703125" style="1" customWidth="1"/>
    <col min="12568" max="12800" width="9.140625" style="1"/>
    <col min="12801" max="12801" width="5.5703125" style="1" customWidth="1"/>
    <col min="12802" max="12802" width="40.5703125" style="1" customWidth="1"/>
    <col min="12803" max="12823" width="30.5703125" style="1" customWidth="1"/>
    <col min="12824" max="13056" width="9.140625" style="1"/>
    <col min="13057" max="13057" width="5.5703125" style="1" customWidth="1"/>
    <col min="13058" max="13058" width="40.5703125" style="1" customWidth="1"/>
    <col min="13059" max="13079" width="30.5703125" style="1" customWidth="1"/>
    <col min="13080" max="13312" width="9.140625" style="1"/>
    <col min="13313" max="13313" width="5.5703125" style="1" customWidth="1"/>
    <col min="13314" max="13314" width="40.5703125" style="1" customWidth="1"/>
    <col min="13315" max="13335" width="30.5703125" style="1" customWidth="1"/>
    <col min="13336" max="13568" width="9.140625" style="1"/>
    <col min="13569" max="13569" width="5.5703125" style="1" customWidth="1"/>
    <col min="13570" max="13570" width="40.5703125" style="1" customWidth="1"/>
    <col min="13571" max="13591" width="30.5703125" style="1" customWidth="1"/>
    <col min="13592" max="13824" width="9.140625" style="1"/>
    <col min="13825" max="13825" width="5.5703125" style="1" customWidth="1"/>
    <col min="13826" max="13826" width="40.5703125" style="1" customWidth="1"/>
    <col min="13827" max="13847" width="30.5703125" style="1" customWidth="1"/>
    <col min="13848" max="14080" width="9.140625" style="1"/>
    <col min="14081" max="14081" width="5.5703125" style="1" customWidth="1"/>
    <col min="14082" max="14082" width="40.5703125" style="1" customWidth="1"/>
    <col min="14083" max="14103" width="30.5703125" style="1" customWidth="1"/>
    <col min="14104" max="14336" width="9.140625" style="1"/>
    <col min="14337" max="14337" width="5.5703125" style="1" customWidth="1"/>
    <col min="14338" max="14338" width="40.5703125" style="1" customWidth="1"/>
    <col min="14339" max="14359" width="30.5703125" style="1" customWidth="1"/>
    <col min="14360" max="14592" width="9.140625" style="1"/>
    <col min="14593" max="14593" width="5.5703125" style="1" customWidth="1"/>
    <col min="14594" max="14594" width="40.5703125" style="1" customWidth="1"/>
    <col min="14595" max="14615" width="30.5703125" style="1" customWidth="1"/>
    <col min="14616" max="14848" width="9.140625" style="1"/>
    <col min="14849" max="14849" width="5.5703125" style="1" customWidth="1"/>
    <col min="14850" max="14850" width="40.5703125" style="1" customWidth="1"/>
    <col min="14851" max="14871" width="30.5703125" style="1" customWidth="1"/>
    <col min="14872" max="15104" width="9.140625" style="1"/>
    <col min="15105" max="15105" width="5.5703125" style="1" customWidth="1"/>
    <col min="15106" max="15106" width="40.5703125" style="1" customWidth="1"/>
    <col min="15107" max="15127" width="30.5703125" style="1" customWidth="1"/>
    <col min="15128" max="15360" width="9.140625" style="1"/>
    <col min="15361" max="15361" width="5.5703125" style="1" customWidth="1"/>
    <col min="15362" max="15362" width="40.5703125" style="1" customWidth="1"/>
    <col min="15363" max="15383" width="30.5703125" style="1" customWidth="1"/>
    <col min="15384" max="15616" width="9.140625" style="1"/>
    <col min="15617" max="15617" width="5.5703125" style="1" customWidth="1"/>
    <col min="15618" max="15618" width="40.5703125" style="1" customWidth="1"/>
    <col min="15619" max="15639" width="30.5703125" style="1" customWidth="1"/>
    <col min="15640" max="15872" width="9.140625" style="1"/>
    <col min="15873" max="15873" width="5.5703125" style="1" customWidth="1"/>
    <col min="15874" max="15874" width="40.5703125" style="1" customWidth="1"/>
    <col min="15875" max="15895" width="30.5703125" style="1" customWidth="1"/>
    <col min="15896" max="16128" width="9.140625" style="1"/>
    <col min="16129" max="16129" width="5.5703125" style="1" customWidth="1"/>
    <col min="16130" max="16130" width="40.5703125" style="1" customWidth="1"/>
    <col min="16131" max="16151" width="30.5703125" style="1" customWidth="1"/>
    <col min="16152" max="16384" width="9.140625" style="1"/>
  </cols>
  <sheetData>
    <row r="1" spans="2:3" ht="20.100000000000001" customHeight="1" x14ac:dyDescent="0.2"/>
    <row r="2" spans="2:3" ht="20.100000000000001" customHeight="1" x14ac:dyDescent="0.2"/>
    <row r="3" spans="2:3" ht="50.1" customHeight="1" x14ac:dyDescent="0.2">
      <c r="B3" s="83" t="s">
        <v>75</v>
      </c>
      <c r="C3" s="84"/>
    </row>
    <row r="4" spans="2:3" ht="20.100000000000001" customHeight="1" x14ac:dyDescent="0.2">
      <c r="B4" s="84" t="s">
        <v>144</v>
      </c>
      <c r="C4" s="84"/>
    </row>
    <row r="5" spans="2:3" ht="20.100000000000001" customHeight="1" x14ac:dyDescent="0.2">
      <c r="B5" s="37" t="s">
        <v>0</v>
      </c>
      <c r="C5" s="38" t="s">
        <v>1</v>
      </c>
    </row>
    <row r="6" spans="2:3" ht="20.100000000000001" customHeight="1" x14ac:dyDescent="0.2">
      <c r="B6" s="37" t="s">
        <v>2</v>
      </c>
      <c r="C6" s="38" t="s">
        <v>3</v>
      </c>
    </row>
    <row r="7" spans="2:3" ht="20.100000000000001" customHeight="1" x14ac:dyDescent="0.2">
      <c r="B7" s="37" t="s">
        <v>4</v>
      </c>
      <c r="C7" s="38" t="s">
        <v>5</v>
      </c>
    </row>
    <row r="8" spans="2:3" ht="20.100000000000001" customHeight="1" x14ac:dyDescent="0.2">
      <c r="B8" s="37" t="s">
        <v>6</v>
      </c>
      <c r="C8" s="38"/>
    </row>
    <row r="9" spans="2:3" ht="20.100000000000001" customHeight="1" x14ac:dyDescent="0.2">
      <c r="B9" s="37" t="s">
        <v>7</v>
      </c>
      <c r="C9" s="38"/>
    </row>
    <row r="10" spans="2:3" ht="20.100000000000001" customHeight="1" x14ac:dyDescent="0.2">
      <c r="B10" s="37" t="s">
        <v>8</v>
      </c>
      <c r="C10" s="38"/>
    </row>
    <row r="11" spans="2:3" ht="20.100000000000001" customHeight="1" x14ac:dyDescent="0.2">
      <c r="B11" s="37" t="s">
        <v>9</v>
      </c>
      <c r="C11" s="38" t="s">
        <v>143</v>
      </c>
    </row>
    <row r="12" spans="2:3" ht="20.100000000000001" customHeight="1" x14ac:dyDescent="0.2">
      <c r="B12" s="37" t="s">
        <v>10</v>
      </c>
      <c r="C12" s="38"/>
    </row>
    <row r="13" spans="2:3" ht="20.100000000000001" customHeight="1" x14ac:dyDescent="0.2">
      <c r="B13" s="37" t="s">
        <v>11</v>
      </c>
      <c r="C13" s="38" t="s">
        <v>121</v>
      </c>
    </row>
    <row r="14" spans="2:3" ht="20.100000000000001" customHeight="1" x14ac:dyDescent="0.2">
      <c r="B14" s="37" t="s">
        <v>12</v>
      </c>
      <c r="C14" s="39"/>
    </row>
    <row r="15" spans="2:3" ht="20.100000000000001" customHeight="1" x14ac:dyDescent="0.2">
      <c r="B15" s="37" t="s">
        <v>13</v>
      </c>
      <c r="C15" s="38"/>
    </row>
    <row r="16" spans="2:3" ht="20.100000000000001" customHeight="1" x14ac:dyDescent="0.2">
      <c r="B16" s="37" t="s">
        <v>14</v>
      </c>
      <c r="C16" s="38"/>
    </row>
    <row r="17" spans="2:3" ht="20.100000000000001" customHeight="1" x14ac:dyDescent="0.2">
      <c r="B17" s="37" t="s">
        <v>15</v>
      </c>
      <c r="C17" s="38"/>
    </row>
    <row r="18" spans="2:3" ht="20.100000000000001" customHeight="1" x14ac:dyDescent="0.2">
      <c r="B18" s="37" t="s">
        <v>71</v>
      </c>
      <c r="C18" s="39">
        <f>H98</f>
        <v>10484.369999999999</v>
      </c>
    </row>
    <row r="19" spans="2:3" ht="20.100000000000001" customHeight="1" x14ac:dyDescent="0.2">
      <c r="B19" s="37" t="s">
        <v>72</v>
      </c>
      <c r="C19" s="39">
        <f>C18*0.3</f>
        <v>3145.3109999999997</v>
      </c>
    </row>
    <row r="20" spans="2:3" ht="20.100000000000001" customHeight="1" x14ac:dyDescent="0.2">
      <c r="B20" s="37" t="s">
        <v>73</v>
      </c>
      <c r="C20" s="39">
        <f>C18</f>
        <v>10484.369999999999</v>
      </c>
    </row>
    <row r="21" spans="2:3" ht="20.100000000000001" customHeight="1" x14ac:dyDescent="0.2">
      <c r="B21" s="37" t="s">
        <v>74</v>
      </c>
      <c r="C21" s="39">
        <f>H92</f>
        <v>2723.2300000000005</v>
      </c>
    </row>
    <row r="22" spans="2:3" ht="20.100000000000001" customHeight="1" x14ac:dyDescent="0.2">
      <c r="B22" s="37" t="s">
        <v>16</v>
      </c>
      <c r="C22" s="39">
        <f>D72</f>
        <v>3385.41</v>
      </c>
    </row>
    <row r="23" spans="2:3" ht="20.100000000000001" customHeight="1" x14ac:dyDescent="0.2">
      <c r="B23" s="37" t="s">
        <v>17</v>
      </c>
      <c r="C23" s="39">
        <f>H72</f>
        <v>17539.100000000002</v>
      </c>
    </row>
    <row r="24" spans="2:3" ht="20.100000000000001" customHeight="1" x14ac:dyDescent="0.2"/>
    <row r="25" spans="2:3" ht="50.1" customHeight="1" x14ac:dyDescent="0.2">
      <c r="B25" s="83" t="s">
        <v>75</v>
      </c>
      <c r="C25" s="84"/>
    </row>
    <row r="26" spans="2:3" ht="20.100000000000001" customHeight="1" x14ac:dyDescent="0.2">
      <c r="B26" s="84" t="s">
        <v>144</v>
      </c>
      <c r="C26" s="84"/>
    </row>
    <row r="27" spans="2:3" ht="20.100000000000001" customHeight="1" x14ac:dyDescent="0.2">
      <c r="B27" s="37" t="s">
        <v>18</v>
      </c>
      <c r="C27" s="21">
        <v>4</v>
      </c>
    </row>
    <row r="28" spans="2:3" ht="20.100000000000001" customHeight="1" x14ac:dyDescent="0.2">
      <c r="B28" s="37" t="s">
        <v>19</v>
      </c>
      <c r="C28" s="21" t="e">
        <f>H58</f>
        <v>#REF!</v>
      </c>
    </row>
    <row r="29" spans="2:3" ht="20.100000000000001" customHeight="1" x14ac:dyDescent="0.2">
      <c r="B29" s="37" t="s">
        <v>20</v>
      </c>
      <c r="C29" s="40" t="e">
        <f>D51</f>
        <v>#REF!</v>
      </c>
    </row>
    <row r="30" spans="2:3" ht="20.100000000000001" customHeight="1" x14ac:dyDescent="0.2">
      <c r="B30" s="37" t="s">
        <v>21</v>
      </c>
      <c r="C30" s="40">
        <f>H72</f>
        <v>17539.100000000002</v>
      </c>
    </row>
    <row r="31" spans="2:3" ht="20.100000000000001" customHeight="1" x14ac:dyDescent="0.2">
      <c r="B31" s="37" t="s">
        <v>22</v>
      </c>
      <c r="C31" s="40" t="e">
        <f>C23-C29</f>
        <v>#REF!</v>
      </c>
    </row>
    <row r="32" spans="2:3" ht="20.100000000000001" customHeight="1" x14ac:dyDescent="0.2">
      <c r="B32" s="37" t="s">
        <v>23</v>
      </c>
      <c r="C32" s="41">
        <f>D72</f>
        <v>3385.41</v>
      </c>
    </row>
    <row r="33" spans="2:12" ht="20.100000000000001" customHeight="1" x14ac:dyDescent="0.2"/>
    <row r="34" spans="2:12" ht="30" x14ac:dyDescent="0.2">
      <c r="B34" s="13" t="s">
        <v>50</v>
      </c>
      <c r="C34" s="3" t="s">
        <v>24</v>
      </c>
      <c r="D34" s="4" t="s">
        <v>25</v>
      </c>
      <c r="E34" s="4" t="s">
        <v>26</v>
      </c>
      <c r="F34" s="4" t="s">
        <v>27</v>
      </c>
      <c r="G34" s="4" t="s">
        <v>28</v>
      </c>
      <c r="H34" s="4" t="s">
        <v>29</v>
      </c>
      <c r="I34" s="4" t="s">
        <v>30</v>
      </c>
      <c r="J34" s="4" t="s">
        <v>31</v>
      </c>
      <c r="K34" s="4" t="s">
        <v>32</v>
      </c>
      <c r="L34" s="4" t="s">
        <v>33</v>
      </c>
    </row>
    <row r="35" spans="2:12" ht="20.100000000000001" customHeight="1" x14ac:dyDescent="0.2">
      <c r="B35" s="2" t="s">
        <v>131</v>
      </c>
      <c r="C35" s="42">
        <v>957.5</v>
      </c>
      <c r="D35" s="42">
        <v>957.5</v>
      </c>
      <c r="E35" s="42">
        <v>953.5</v>
      </c>
      <c r="F35" s="42">
        <v>15.2</v>
      </c>
      <c r="G35" s="21">
        <v>1</v>
      </c>
      <c r="H35" s="21">
        <v>4</v>
      </c>
      <c r="I35" s="21">
        <f>SUM(G35:H35)</f>
        <v>5</v>
      </c>
      <c r="J35" s="42">
        <v>4</v>
      </c>
      <c r="K35" s="42">
        <v>15.2</v>
      </c>
      <c r="L35" s="42">
        <f>SUM(J35:K35)</f>
        <v>19.2</v>
      </c>
    </row>
    <row r="36" spans="2:12" ht="20.100000000000001" customHeight="1" x14ac:dyDescent="0.2">
      <c r="B36" s="2" t="s">
        <v>132</v>
      </c>
      <c r="C36" s="42">
        <v>957.5</v>
      </c>
      <c r="D36" s="42">
        <v>957.5</v>
      </c>
      <c r="E36" s="42">
        <v>953.5</v>
      </c>
      <c r="F36" s="42">
        <v>15.2</v>
      </c>
      <c r="G36" s="21">
        <v>1</v>
      </c>
      <c r="H36" s="21">
        <v>4</v>
      </c>
      <c r="I36" s="21">
        <v>5</v>
      </c>
      <c r="J36" s="42">
        <v>4</v>
      </c>
      <c r="K36" s="42">
        <v>15.2</v>
      </c>
      <c r="L36" s="42">
        <f>SUM(J36:K36)</f>
        <v>19.2</v>
      </c>
    </row>
    <row r="37" spans="2:12" ht="20.100000000000001" customHeight="1" x14ac:dyDescent="0.2">
      <c r="B37" s="2" t="s">
        <v>137</v>
      </c>
      <c r="C37" s="42">
        <v>957.5</v>
      </c>
      <c r="D37" s="42">
        <v>957.5</v>
      </c>
      <c r="E37" s="42">
        <v>953.5</v>
      </c>
      <c r="F37" s="42">
        <v>15.2</v>
      </c>
      <c r="G37" s="21">
        <v>1</v>
      </c>
      <c r="H37" s="21">
        <v>4</v>
      </c>
      <c r="I37" s="21">
        <v>5</v>
      </c>
      <c r="J37" s="42">
        <v>4</v>
      </c>
      <c r="K37" s="42">
        <v>15.2</v>
      </c>
      <c r="L37" s="42">
        <f>SUM(J37:K37)</f>
        <v>19.2</v>
      </c>
    </row>
    <row r="38" spans="2:12" ht="20.100000000000001" customHeight="1" x14ac:dyDescent="0.2">
      <c r="B38" s="2" t="s">
        <v>136</v>
      </c>
      <c r="C38" s="42">
        <v>957.5</v>
      </c>
      <c r="D38" s="42">
        <v>957.5</v>
      </c>
      <c r="E38" s="42">
        <v>953.5</v>
      </c>
      <c r="F38" s="42">
        <v>8</v>
      </c>
      <c r="G38" s="21">
        <v>0</v>
      </c>
      <c r="H38" s="21">
        <v>2</v>
      </c>
      <c r="I38" s="21">
        <f>SUM(G38:H38)</f>
        <v>2</v>
      </c>
      <c r="J38" s="42">
        <v>0</v>
      </c>
      <c r="K38" s="42">
        <v>8</v>
      </c>
      <c r="L38" s="42">
        <v>8</v>
      </c>
    </row>
    <row r="39" spans="2:12" ht="20.100000000000001" customHeight="1" x14ac:dyDescent="0.2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2:12" ht="30" customHeight="1" x14ac:dyDescent="0.2">
      <c r="B40" s="13" t="s">
        <v>49</v>
      </c>
      <c r="C40" s="4" t="s">
        <v>34</v>
      </c>
      <c r="D40" s="4" t="s">
        <v>35</v>
      </c>
      <c r="E40" s="4" t="s">
        <v>36</v>
      </c>
      <c r="F40" s="4" t="s">
        <v>123</v>
      </c>
      <c r="G40" s="4" t="s">
        <v>130</v>
      </c>
      <c r="H40" s="4" t="s">
        <v>37</v>
      </c>
    </row>
    <row r="41" spans="2:12" ht="20.100000000000001" customHeight="1" x14ac:dyDescent="0.2">
      <c r="B41" s="2" t="s">
        <v>131</v>
      </c>
      <c r="C41" s="42">
        <v>4</v>
      </c>
      <c r="D41" s="42">
        <v>4</v>
      </c>
      <c r="E41" s="42">
        <v>4</v>
      </c>
      <c r="F41" s="42">
        <v>3.6</v>
      </c>
      <c r="G41" s="42">
        <v>3.6</v>
      </c>
      <c r="H41" s="42">
        <f>SUM(C41:G41)</f>
        <v>19.2</v>
      </c>
    </row>
    <row r="42" spans="2:12" ht="20.100000000000001" customHeight="1" x14ac:dyDescent="0.2">
      <c r="B42" s="2" t="s">
        <v>132</v>
      </c>
      <c r="C42" s="42">
        <v>4</v>
      </c>
      <c r="D42" s="42">
        <v>4</v>
      </c>
      <c r="E42" s="42">
        <v>4</v>
      </c>
      <c r="F42" s="42">
        <v>3.6</v>
      </c>
      <c r="G42" s="42">
        <v>3.6</v>
      </c>
      <c r="H42" s="42">
        <f>SUM(C42:G42)</f>
        <v>19.2</v>
      </c>
    </row>
    <row r="43" spans="2:12" ht="20.100000000000001" customHeight="1" x14ac:dyDescent="0.2">
      <c r="B43" s="2" t="s">
        <v>137</v>
      </c>
      <c r="C43" s="42">
        <v>4</v>
      </c>
      <c r="D43" s="42">
        <v>4</v>
      </c>
      <c r="E43" s="42">
        <v>4</v>
      </c>
      <c r="F43" s="42">
        <v>3.6</v>
      </c>
      <c r="G43" s="42">
        <v>3.6</v>
      </c>
      <c r="H43" s="42">
        <f>SUM(C43:G43)</f>
        <v>19.2</v>
      </c>
    </row>
    <row r="44" spans="2:12" ht="20.100000000000001" customHeight="1" x14ac:dyDescent="0.2">
      <c r="B44" s="2" t="s">
        <v>136</v>
      </c>
      <c r="C44" s="42">
        <v>0</v>
      </c>
      <c r="D44" s="42">
        <v>4</v>
      </c>
      <c r="E44" s="42">
        <v>4</v>
      </c>
      <c r="F44" s="42">
        <v>0</v>
      </c>
      <c r="G44" s="42">
        <v>0</v>
      </c>
      <c r="H44" s="42">
        <f>SUM(C44:G44)</f>
        <v>8</v>
      </c>
    </row>
    <row r="45" spans="2:12" ht="20.100000000000001" customHeight="1" x14ac:dyDescent="0.2">
      <c r="B45" s="14"/>
      <c r="C45" s="15"/>
      <c r="D45" s="15"/>
      <c r="E45" s="15"/>
      <c r="F45" s="15"/>
      <c r="G45" s="15"/>
    </row>
    <row r="46" spans="2:12" ht="30" x14ac:dyDescent="0.2">
      <c r="B46" s="13" t="s">
        <v>48</v>
      </c>
      <c r="C46" s="3" t="s">
        <v>38</v>
      </c>
      <c r="D46" s="3" t="s">
        <v>57</v>
      </c>
    </row>
    <row r="47" spans="2:12" ht="20.100000000000001" customHeight="1" x14ac:dyDescent="0.2">
      <c r="B47" s="2" t="s">
        <v>131</v>
      </c>
      <c r="C47" s="21" t="e">
        <f>'Bağımsız Birim'!#REF!</f>
        <v>#REF!</v>
      </c>
      <c r="D47" s="40" t="e">
        <f>'Bağımsız Birim'!#REF!</f>
        <v>#REF!</v>
      </c>
    </row>
    <row r="48" spans="2:12" ht="20.100000000000001" customHeight="1" x14ac:dyDescent="0.2">
      <c r="B48" s="2" t="s">
        <v>132</v>
      </c>
      <c r="C48" s="21" t="e">
        <f>'Bağımsız Birim'!#REF!</f>
        <v>#REF!</v>
      </c>
      <c r="D48" s="40" t="e">
        <f>'Bağımsız Birim'!#REF!</f>
        <v>#REF!</v>
      </c>
    </row>
    <row r="49" spans="2:8" ht="20.100000000000001" customHeight="1" x14ac:dyDescent="0.2">
      <c r="B49" s="2" t="s">
        <v>137</v>
      </c>
      <c r="C49" s="21" t="e">
        <f>'Bağımsız Birim'!#REF!</f>
        <v>#REF!</v>
      </c>
      <c r="D49" s="40" t="e">
        <f>'Bağımsız Birim'!#REF!</f>
        <v>#REF!</v>
      </c>
    </row>
    <row r="50" spans="2:8" ht="20.100000000000001" customHeight="1" x14ac:dyDescent="0.2">
      <c r="B50" s="2" t="s">
        <v>136</v>
      </c>
      <c r="C50" s="21" t="e">
        <f>'Bağımsız Birim'!#REF!</f>
        <v>#REF!</v>
      </c>
      <c r="D50" s="40" t="e">
        <f>'Bağımsız Birim'!#REF!</f>
        <v>#REF!</v>
      </c>
    </row>
    <row r="51" spans="2:8" ht="20.100000000000001" customHeight="1" x14ac:dyDescent="0.2">
      <c r="B51" s="2" t="s">
        <v>39</v>
      </c>
      <c r="C51" s="21" t="e">
        <f>SUM(C47:C50)</f>
        <v>#REF!</v>
      </c>
      <c r="D51" s="40" t="e">
        <f>SUM(D47:D50)</f>
        <v>#REF!</v>
      </c>
    </row>
    <row r="52" spans="2:8" ht="20.100000000000001" customHeight="1" x14ac:dyDescent="0.2"/>
    <row r="53" spans="2:8" ht="30" x14ac:dyDescent="0.2">
      <c r="B53" s="12" t="s">
        <v>82</v>
      </c>
      <c r="C53" s="4" t="s">
        <v>77</v>
      </c>
      <c r="D53" s="4" t="s">
        <v>78</v>
      </c>
      <c r="E53" s="4" t="s">
        <v>79</v>
      </c>
      <c r="F53" s="4" t="s">
        <v>122</v>
      </c>
      <c r="G53" s="4" t="s">
        <v>129</v>
      </c>
      <c r="H53" s="4" t="s">
        <v>80</v>
      </c>
    </row>
    <row r="54" spans="2:8" ht="20.100000000000001" customHeight="1" x14ac:dyDescent="0.2">
      <c r="B54" s="2" t="s">
        <v>131</v>
      </c>
      <c r="C54" s="21">
        <v>0</v>
      </c>
      <c r="D54" s="21" t="e">
        <f>'Bağımsız Birim'!#REF!</f>
        <v>#REF!</v>
      </c>
      <c r="E54" s="21" t="e">
        <f>'Bağımsız Birim'!#REF!</f>
        <v>#REF!</v>
      </c>
      <c r="F54" s="21" t="e">
        <f>'Bağımsız Birim'!#REF!</f>
        <v>#REF!</v>
      </c>
      <c r="G54" s="21" t="e">
        <f>'Bağımsız Birim'!#REF!</f>
        <v>#REF!</v>
      </c>
      <c r="H54" s="2" t="e">
        <f>SUM(C54:G54)</f>
        <v>#REF!</v>
      </c>
    </row>
    <row r="55" spans="2:8" ht="20.100000000000001" customHeight="1" x14ac:dyDescent="0.2">
      <c r="B55" s="2" t="s">
        <v>132</v>
      </c>
      <c r="C55" s="21">
        <v>0</v>
      </c>
      <c r="D55" s="21" t="e">
        <f>'Bağımsız Birim'!#REF!</f>
        <v>#REF!</v>
      </c>
      <c r="E55" s="21" t="e">
        <f>'Bağımsız Birim'!#REF!</f>
        <v>#REF!</v>
      </c>
      <c r="F55" s="21" t="e">
        <f>'Bağımsız Birim'!#REF!</f>
        <v>#REF!</v>
      </c>
      <c r="G55" s="21" t="e">
        <f>'Bağımsız Birim'!#REF!</f>
        <v>#REF!</v>
      </c>
      <c r="H55" s="2" t="e">
        <f>SUM(C55:G55)</f>
        <v>#REF!</v>
      </c>
    </row>
    <row r="56" spans="2:8" ht="20.100000000000001" customHeight="1" x14ac:dyDescent="0.2">
      <c r="B56" s="2" t="s">
        <v>137</v>
      </c>
      <c r="C56" s="21">
        <v>0</v>
      </c>
      <c r="D56" s="21" t="e">
        <f>'Bağımsız Birim'!#REF!</f>
        <v>#REF!</v>
      </c>
      <c r="E56" s="21" t="e">
        <f>'Bağımsız Birim'!#REF!</f>
        <v>#REF!</v>
      </c>
      <c r="F56" s="21" t="e">
        <f>'Bağımsız Birim'!#REF!</f>
        <v>#REF!</v>
      </c>
      <c r="G56" s="21" t="e">
        <f>'Bağımsız Birim'!#REF!</f>
        <v>#REF!</v>
      </c>
      <c r="H56" s="2" t="e">
        <f>SUM(C56:G56)</f>
        <v>#REF!</v>
      </c>
    </row>
    <row r="57" spans="2:8" ht="20.100000000000001" customHeight="1" x14ac:dyDescent="0.2">
      <c r="B57" s="2" t="s">
        <v>136</v>
      </c>
      <c r="C57" s="21">
        <v>0</v>
      </c>
      <c r="D57" s="21" t="e">
        <f>'Bağımsız Birim'!#REF!</f>
        <v>#REF!</v>
      </c>
      <c r="E57" s="21" t="e">
        <f>'Bağımsız Birim'!#REF!</f>
        <v>#REF!</v>
      </c>
      <c r="F57" s="21" t="e">
        <f>'Bağımsız Birim'!#REF!</f>
        <v>#REF!</v>
      </c>
      <c r="G57" s="21" t="e">
        <f>'Bağımsız Birim'!#REF!</f>
        <v>#REF!</v>
      </c>
      <c r="H57" s="2" t="e">
        <f>SUM(C57:G57)</f>
        <v>#REF!</v>
      </c>
    </row>
    <row r="58" spans="2:8" ht="20.100000000000001" customHeight="1" x14ac:dyDescent="0.2">
      <c r="B58" s="2" t="s">
        <v>76</v>
      </c>
      <c r="C58" s="2">
        <f>SUM(C54:C57)</f>
        <v>0</v>
      </c>
      <c r="D58" s="2" t="e">
        <f>SUM(D54:D57)</f>
        <v>#REF!</v>
      </c>
      <c r="E58" s="2" t="e">
        <f>SUM(E54:E57)</f>
        <v>#REF!</v>
      </c>
      <c r="F58" s="2" t="e">
        <f>SUM(F54:F57)</f>
        <v>#REF!</v>
      </c>
      <c r="G58" s="2" t="e">
        <f>SUM(G54:G57)</f>
        <v>#REF!</v>
      </c>
      <c r="H58" s="2" t="e">
        <f>SUM(C58:G58)</f>
        <v>#REF!</v>
      </c>
    </row>
    <row r="59" spans="2:8" ht="20.100000000000001" customHeight="1" x14ac:dyDescent="0.2">
      <c r="B59" s="14"/>
      <c r="C59" s="15"/>
      <c r="D59" s="15"/>
      <c r="E59" s="15"/>
      <c r="F59" s="15"/>
      <c r="G59" s="14"/>
    </row>
    <row r="60" spans="2:8" ht="30" customHeight="1" x14ac:dyDescent="0.2">
      <c r="B60" s="12" t="s">
        <v>82</v>
      </c>
      <c r="C60" s="4" t="s">
        <v>42</v>
      </c>
      <c r="D60" s="4" t="s">
        <v>81</v>
      </c>
      <c r="E60" s="4" t="s">
        <v>43</v>
      </c>
      <c r="F60" s="4" t="s">
        <v>44</v>
      </c>
      <c r="G60" s="4" t="s">
        <v>80</v>
      </c>
    </row>
    <row r="61" spans="2:8" ht="20.100000000000001" customHeight="1" x14ac:dyDescent="0.2">
      <c r="B61" s="2" t="s">
        <v>131</v>
      </c>
      <c r="C61" s="21" t="e">
        <f>'Bağımsız Birim'!#REF!</f>
        <v>#REF!</v>
      </c>
      <c r="D61" s="21" t="e">
        <f>'Bağımsız Birim'!#REF!</f>
        <v>#REF!</v>
      </c>
      <c r="E61" s="21">
        <v>0</v>
      </c>
      <c r="F61" s="21">
        <v>0</v>
      </c>
      <c r="G61" s="2" t="e">
        <f>SUM(B61:F61)</f>
        <v>#REF!</v>
      </c>
    </row>
    <row r="62" spans="2:8" ht="20.100000000000001" customHeight="1" x14ac:dyDescent="0.2">
      <c r="B62" s="2" t="s">
        <v>132</v>
      </c>
      <c r="C62" s="21" t="e">
        <f>'Bağımsız Birim'!#REF!</f>
        <v>#REF!</v>
      </c>
      <c r="D62" s="21" t="e">
        <f>'Bağımsız Birim'!#REF!</f>
        <v>#REF!</v>
      </c>
      <c r="E62" s="21">
        <v>0</v>
      </c>
      <c r="F62" s="21">
        <v>0</v>
      </c>
      <c r="G62" s="2" t="e">
        <f>SUM(C62:F62)</f>
        <v>#REF!</v>
      </c>
    </row>
    <row r="63" spans="2:8" ht="20.100000000000001" customHeight="1" x14ac:dyDescent="0.2">
      <c r="B63" s="2" t="s">
        <v>137</v>
      </c>
      <c r="C63" s="21" t="e">
        <f>'Bağımsız Birim'!#REF!</f>
        <v>#REF!</v>
      </c>
      <c r="D63" s="21" t="e">
        <f>'Bağımsız Birim'!#REF!</f>
        <v>#REF!</v>
      </c>
      <c r="E63" s="21">
        <v>0</v>
      </c>
      <c r="F63" s="21">
        <v>0</v>
      </c>
      <c r="G63" s="2" t="e">
        <f>SUM(C63:F63)</f>
        <v>#REF!</v>
      </c>
    </row>
    <row r="64" spans="2:8" ht="20.100000000000001" customHeight="1" x14ac:dyDescent="0.2">
      <c r="B64" s="2" t="s">
        <v>136</v>
      </c>
      <c r="C64" s="21" t="e">
        <f>'Bağımsız Birim'!#REF!</f>
        <v>#REF!</v>
      </c>
      <c r="D64" s="21">
        <v>0</v>
      </c>
      <c r="E64" s="21">
        <v>0</v>
      </c>
      <c r="F64" s="21">
        <v>0</v>
      </c>
      <c r="G64" s="2" t="e">
        <f>SUM(B64:F64)</f>
        <v>#REF!</v>
      </c>
    </row>
    <row r="65" spans="2:12" ht="20.100000000000001" customHeight="1" x14ac:dyDescent="0.2">
      <c r="B65" s="2" t="s">
        <v>76</v>
      </c>
      <c r="C65" s="2" t="e">
        <f>SUM(C61:C64)</f>
        <v>#REF!</v>
      </c>
      <c r="D65" s="2" t="e">
        <f>SUM(D61:D64)</f>
        <v>#REF!</v>
      </c>
      <c r="E65" s="2">
        <f>SUM(E61:E64)</f>
        <v>0</v>
      </c>
      <c r="F65" s="2">
        <f>SUM(F61:F64)</f>
        <v>0</v>
      </c>
      <c r="G65" s="2" t="e">
        <f>SUM(B65:F65)</f>
        <v>#REF!</v>
      </c>
    </row>
    <row r="66" spans="2:12" ht="20.100000000000001" customHeight="1" x14ac:dyDescent="0.2"/>
    <row r="67" spans="2:12" ht="30" customHeight="1" x14ac:dyDescent="0.2">
      <c r="B67" s="12" t="s">
        <v>51</v>
      </c>
      <c r="C67" s="4" t="s">
        <v>45</v>
      </c>
      <c r="D67" s="4" t="s">
        <v>46</v>
      </c>
      <c r="E67" s="4" t="s">
        <v>47</v>
      </c>
      <c r="F67" s="4" t="s">
        <v>125</v>
      </c>
      <c r="G67" s="4" t="s">
        <v>128</v>
      </c>
      <c r="H67" s="4" t="s">
        <v>21</v>
      </c>
    </row>
    <row r="68" spans="2:12" ht="20.100000000000001" customHeight="1" x14ac:dyDescent="0.2">
      <c r="B68" s="2" t="s">
        <v>131</v>
      </c>
      <c r="C68" s="40">
        <v>1535.63</v>
      </c>
      <c r="D68" s="40">
        <v>1126.23</v>
      </c>
      <c r="E68" s="40">
        <v>1256.8399999999999</v>
      </c>
      <c r="F68" s="40">
        <v>1002.09</v>
      </c>
      <c r="G68" s="40">
        <v>1002.09</v>
      </c>
      <c r="H68" s="5">
        <f>SUM(C68:G68)</f>
        <v>5922.88</v>
      </c>
    </row>
    <row r="69" spans="2:12" ht="20.100000000000001" customHeight="1" x14ac:dyDescent="0.2">
      <c r="B69" s="2" t="s">
        <v>132</v>
      </c>
      <c r="C69" s="40">
        <v>1145.3699999999999</v>
      </c>
      <c r="D69" s="40">
        <v>947.55</v>
      </c>
      <c r="E69" s="40">
        <v>1191.3800000000001</v>
      </c>
      <c r="F69" s="40">
        <v>851.64</v>
      </c>
      <c r="G69" s="40">
        <v>851.64</v>
      </c>
      <c r="H69" s="5">
        <f>SUM(C69:G69)</f>
        <v>4987.5800000000008</v>
      </c>
    </row>
    <row r="70" spans="2:12" ht="20.100000000000001" customHeight="1" x14ac:dyDescent="0.2">
      <c r="B70" s="2" t="s">
        <v>137</v>
      </c>
      <c r="C70" s="40">
        <v>1368.98</v>
      </c>
      <c r="D70" s="40">
        <v>1068.94</v>
      </c>
      <c r="E70" s="40">
        <v>1328.2</v>
      </c>
      <c r="F70" s="40">
        <v>1138.18</v>
      </c>
      <c r="G70" s="40">
        <v>1125.3499999999999</v>
      </c>
      <c r="H70" s="5">
        <f>SUM(C70:G70)</f>
        <v>6029.65</v>
      </c>
    </row>
    <row r="71" spans="2:12" ht="20.100000000000001" customHeight="1" x14ac:dyDescent="0.2">
      <c r="B71" s="2" t="s">
        <v>136</v>
      </c>
      <c r="C71" s="40">
        <v>0</v>
      </c>
      <c r="D71" s="40">
        <v>242.69</v>
      </c>
      <c r="E71" s="40">
        <v>356.3</v>
      </c>
      <c r="F71" s="40">
        <v>0</v>
      </c>
      <c r="G71" s="40">
        <v>0</v>
      </c>
      <c r="H71" s="5">
        <f>SUM(C71:G71)</f>
        <v>598.99</v>
      </c>
    </row>
    <row r="72" spans="2:12" ht="20.100000000000001" customHeight="1" x14ac:dyDescent="0.2">
      <c r="B72" s="2" t="s">
        <v>21</v>
      </c>
      <c r="C72" s="5">
        <f t="shared" ref="C72:H72" si="0">SUM(C68:C71)</f>
        <v>4049.98</v>
      </c>
      <c r="D72" s="5">
        <f t="shared" si="0"/>
        <v>3385.41</v>
      </c>
      <c r="E72" s="5">
        <f t="shared" si="0"/>
        <v>4132.72</v>
      </c>
      <c r="F72" s="5">
        <f t="shared" si="0"/>
        <v>2991.91</v>
      </c>
      <c r="G72" s="5">
        <f t="shared" si="0"/>
        <v>2979.08</v>
      </c>
      <c r="H72" s="5">
        <f t="shared" si="0"/>
        <v>17539.100000000002</v>
      </c>
    </row>
    <row r="73" spans="2:12" ht="20.100000000000001" customHeight="1" x14ac:dyDescent="0.2">
      <c r="B73" s="14"/>
      <c r="C73" s="14"/>
      <c r="D73" s="14"/>
      <c r="E73" s="14"/>
      <c r="F73" s="14"/>
      <c r="G73" s="14"/>
    </row>
    <row r="74" spans="2:12" ht="60" customHeight="1" x14ac:dyDescent="0.2">
      <c r="B74" s="22" t="s">
        <v>64</v>
      </c>
      <c r="C74" s="2" t="s">
        <v>54</v>
      </c>
      <c r="D74" s="2" t="s">
        <v>131</v>
      </c>
      <c r="E74" s="2" t="s">
        <v>132</v>
      </c>
      <c r="F74" s="2" t="s">
        <v>137</v>
      </c>
      <c r="G74" s="2" t="s">
        <v>136</v>
      </c>
      <c r="H74" s="2" t="s">
        <v>39</v>
      </c>
      <c r="I74" s="14"/>
      <c r="J74" s="14"/>
      <c r="K74" s="14"/>
      <c r="L74" s="14"/>
    </row>
    <row r="75" spans="2:12" ht="20.100000000000001" customHeight="1" x14ac:dyDescent="0.2">
      <c r="B75" s="75" t="s">
        <v>58</v>
      </c>
      <c r="C75" s="34" t="s">
        <v>59</v>
      </c>
      <c r="D75" s="40">
        <f>C68</f>
        <v>1535.63</v>
      </c>
      <c r="E75" s="40">
        <f>C69</f>
        <v>1145.3699999999999</v>
      </c>
      <c r="F75" s="40">
        <f>C70</f>
        <v>1368.98</v>
      </c>
      <c r="G75" s="40">
        <f>C71</f>
        <v>0</v>
      </c>
      <c r="H75" s="5">
        <f>SUM(D75:G75)</f>
        <v>4049.98</v>
      </c>
      <c r="I75" s="7"/>
      <c r="J75" s="7"/>
      <c r="K75" s="7"/>
      <c r="L75" s="16"/>
    </row>
    <row r="76" spans="2:12" ht="20.100000000000001" customHeight="1" x14ac:dyDescent="0.2">
      <c r="B76" s="76"/>
      <c r="C76" s="35" t="s">
        <v>60</v>
      </c>
      <c r="D76" s="40">
        <f>D68</f>
        <v>1126.23</v>
      </c>
      <c r="E76" s="46">
        <f>D69</f>
        <v>947.55</v>
      </c>
      <c r="F76" s="46">
        <f>D70</f>
        <v>1068.94</v>
      </c>
      <c r="G76" s="46">
        <f>D71</f>
        <v>242.69</v>
      </c>
      <c r="H76" s="5">
        <f>SUM(D76:G76)</f>
        <v>3385.41</v>
      </c>
      <c r="I76" s="7"/>
      <c r="J76" s="7"/>
      <c r="K76" s="7"/>
      <c r="L76" s="16"/>
    </row>
    <row r="77" spans="2:12" ht="20.100000000000001" customHeight="1" x14ac:dyDescent="0.2">
      <c r="B77" s="76"/>
      <c r="C77" s="36" t="s">
        <v>61</v>
      </c>
      <c r="D77" s="40">
        <f>E68</f>
        <v>1256.8399999999999</v>
      </c>
      <c r="E77" s="46">
        <f>E69</f>
        <v>1191.3800000000001</v>
      </c>
      <c r="F77" s="46">
        <f>E70</f>
        <v>1328.2</v>
      </c>
      <c r="G77" s="46">
        <f>E71</f>
        <v>356.3</v>
      </c>
      <c r="H77" s="5">
        <f>SUM(D77:G77)</f>
        <v>4132.72</v>
      </c>
      <c r="I77" s="7"/>
      <c r="J77" s="7"/>
      <c r="K77" s="7"/>
      <c r="L77" s="16"/>
    </row>
    <row r="78" spans="2:12" ht="20.100000000000001" customHeight="1" x14ac:dyDescent="0.2">
      <c r="B78" s="76"/>
      <c r="C78" s="36" t="s">
        <v>124</v>
      </c>
      <c r="D78" s="40">
        <f>F68</f>
        <v>1002.09</v>
      </c>
      <c r="E78" s="46">
        <f>F69</f>
        <v>851.64</v>
      </c>
      <c r="F78" s="46">
        <f>F70</f>
        <v>1138.18</v>
      </c>
      <c r="G78" s="46">
        <f>F71</f>
        <v>0</v>
      </c>
      <c r="H78" s="5">
        <f>SUM(D78:G78)</f>
        <v>2991.91</v>
      </c>
      <c r="I78" s="7"/>
      <c r="J78" s="7"/>
      <c r="K78" s="7"/>
      <c r="L78" s="16"/>
    </row>
    <row r="79" spans="2:12" ht="20.100000000000001" customHeight="1" x14ac:dyDescent="0.2">
      <c r="B79" s="76"/>
      <c r="C79" s="36" t="s">
        <v>127</v>
      </c>
      <c r="D79" s="40">
        <f>G68</f>
        <v>1002.09</v>
      </c>
      <c r="E79" s="46">
        <f>G69</f>
        <v>851.64</v>
      </c>
      <c r="F79" s="46">
        <f>G70</f>
        <v>1125.3499999999999</v>
      </c>
      <c r="G79" s="46">
        <f>G71</f>
        <v>0</v>
      </c>
      <c r="H79" s="5">
        <f>SUM(D79:G79)</f>
        <v>2979.08</v>
      </c>
      <c r="I79" s="16"/>
      <c r="J79" s="16"/>
      <c r="K79" s="16"/>
      <c r="L79" s="16"/>
    </row>
    <row r="80" spans="2:12" ht="20.100000000000001" customHeight="1" x14ac:dyDescent="0.2">
      <c r="B80" s="77"/>
      <c r="C80" s="36" t="s">
        <v>39</v>
      </c>
      <c r="D80" s="5">
        <f>SUM(D75:D79)</f>
        <v>5922.88</v>
      </c>
      <c r="E80" s="5">
        <f>SUM(E75:E79)</f>
        <v>4987.5800000000008</v>
      </c>
      <c r="F80" s="5">
        <f>SUM(F75:F79)</f>
        <v>6029.65</v>
      </c>
      <c r="G80" s="5">
        <f>SUM(G75:G79)</f>
        <v>598.99</v>
      </c>
      <c r="H80" s="5">
        <f>SUM(H75:H79)</f>
        <v>17539.099999999999</v>
      </c>
      <c r="I80" s="7"/>
      <c r="J80" s="7"/>
      <c r="K80" s="7"/>
      <c r="L80" s="16"/>
    </row>
    <row r="81" spans="2:12" ht="20.100000000000001" customHeight="1" x14ac:dyDescent="0.2">
      <c r="B81" s="75" t="s">
        <v>63</v>
      </c>
      <c r="C81" s="2" t="s">
        <v>59</v>
      </c>
      <c r="D81" s="40">
        <f>C68</f>
        <v>1535.63</v>
      </c>
      <c r="E81" s="40">
        <f>C69</f>
        <v>1145.3699999999999</v>
      </c>
      <c r="F81" s="40">
        <f>C70</f>
        <v>1368.98</v>
      </c>
      <c r="G81" s="40">
        <f>C71</f>
        <v>0</v>
      </c>
      <c r="H81" s="5">
        <f>SUM(D81:G81)</f>
        <v>4049.98</v>
      </c>
      <c r="I81" s="7"/>
      <c r="J81" s="7"/>
      <c r="K81" s="7"/>
      <c r="L81" s="16"/>
    </row>
    <row r="82" spans="2:12" ht="20.100000000000001" customHeight="1" x14ac:dyDescent="0.2">
      <c r="B82" s="76"/>
      <c r="C82" s="2" t="s">
        <v>60</v>
      </c>
      <c r="D82" s="40">
        <v>23.14</v>
      </c>
      <c r="E82" s="40">
        <v>23.13</v>
      </c>
      <c r="F82" s="40">
        <v>24.11</v>
      </c>
      <c r="G82" s="40">
        <v>0</v>
      </c>
      <c r="H82" s="5">
        <f>SUM(D82:G82)</f>
        <v>70.38</v>
      </c>
      <c r="I82" s="7"/>
      <c r="J82" s="7"/>
      <c r="K82" s="7"/>
      <c r="L82" s="16"/>
    </row>
    <row r="83" spans="2:12" ht="20.100000000000001" customHeight="1" x14ac:dyDescent="0.2">
      <c r="B83" s="76"/>
      <c r="C83" s="4" t="s">
        <v>61</v>
      </c>
      <c r="D83" s="40">
        <v>23.14</v>
      </c>
      <c r="E83" s="40">
        <v>23.13</v>
      </c>
      <c r="F83" s="40">
        <v>24.11</v>
      </c>
      <c r="G83" s="40">
        <v>0</v>
      </c>
      <c r="H83" s="5">
        <f>SUM(D83:G83)</f>
        <v>70.38</v>
      </c>
      <c r="I83" s="7"/>
      <c r="J83" s="7"/>
      <c r="K83" s="7"/>
      <c r="L83" s="16"/>
    </row>
    <row r="84" spans="2:12" ht="20.100000000000001" customHeight="1" x14ac:dyDescent="0.2">
      <c r="B84" s="76"/>
      <c r="C84" s="4" t="s">
        <v>124</v>
      </c>
      <c r="D84" s="40">
        <v>23.14</v>
      </c>
      <c r="E84" s="40">
        <v>23.13</v>
      </c>
      <c r="F84" s="40">
        <v>24.11</v>
      </c>
      <c r="G84" s="40">
        <v>0</v>
      </c>
      <c r="H84" s="5">
        <f>SUM(D84:G84)</f>
        <v>70.38</v>
      </c>
      <c r="I84" s="16"/>
      <c r="J84" s="16"/>
      <c r="K84" s="16"/>
      <c r="L84" s="16"/>
    </row>
    <row r="85" spans="2:12" ht="20.100000000000001" customHeight="1" x14ac:dyDescent="0.2">
      <c r="B85" s="76"/>
      <c r="C85" s="4" t="s">
        <v>127</v>
      </c>
      <c r="D85" s="40">
        <v>23.14</v>
      </c>
      <c r="E85" s="40">
        <v>23.13</v>
      </c>
      <c r="F85" s="40">
        <v>24.11</v>
      </c>
      <c r="G85" s="40">
        <v>0</v>
      </c>
      <c r="H85" s="5">
        <f>SUM(D85:G85)</f>
        <v>70.38</v>
      </c>
      <c r="I85" s="7"/>
      <c r="J85" s="7"/>
      <c r="K85" s="7"/>
      <c r="L85" s="16"/>
    </row>
    <row r="86" spans="2:12" ht="20.100000000000001" customHeight="1" x14ac:dyDescent="0.2">
      <c r="B86" s="77"/>
      <c r="C86" s="4" t="s">
        <v>39</v>
      </c>
      <c r="D86" s="5">
        <f>SUM(D81:D85)</f>
        <v>1628.1900000000005</v>
      </c>
      <c r="E86" s="5">
        <f>SUM(E81:E85)</f>
        <v>1237.8900000000003</v>
      </c>
      <c r="F86" s="5">
        <f>SUM(F81:F85)</f>
        <v>1465.4199999999996</v>
      </c>
      <c r="G86" s="5">
        <f>SUM(G81:G85)</f>
        <v>0</v>
      </c>
      <c r="H86" s="5">
        <f>SUM(H81:H85)</f>
        <v>4331.5</v>
      </c>
      <c r="I86" s="7"/>
      <c r="J86" s="7"/>
      <c r="K86" s="7"/>
      <c r="L86" s="16"/>
    </row>
    <row r="87" spans="2:12" ht="20.100000000000001" customHeight="1" x14ac:dyDescent="0.2">
      <c r="B87" s="75" t="s">
        <v>62</v>
      </c>
      <c r="C87" s="2" t="s">
        <v>59</v>
      </c>
      <c r="D87" s="40">
        <v>0</v>
      </c>
      <c r="E87" s="40">
        <v>0</v>
      </c>
      <c r="F87" s="40">
        <v>0</v>
      </c>
      <c r="G87" s="40">
        <v>0</v>
      </c>
      <c r="H87" s="5">
        <f>SUM(D87:G87)</f>
        <v>0</v>
      </c>
      <c r="I87" s="7"/>
      <c r="J87" s="7"/>
      <c r="K87" s="7"/>
      <c r="L87" s="16"/>
    </row>
    <row r="88" spans="2:12" ht="20.100000000000001" customHeight="1" x14ac:dyDescent="0.2">
      <c r="B88" s="76"/>
      <c r="C88" s="2" t="s">
        <v>60</v>
      </c>
      <c r="D88" s="40">
        <v>317.14</v>
      </c>
      <c r="E88" s="40">
        <v>228.34</v>
      </c>
      <c r="F88" s="40">
        <v>286.86</v>
      </c>
      <c r="G88" s="40">
        <v>110.29</v>
      </c>
      <c r="H88" s="5">
        <f>SUM(D88:G88)</f>
        <v>942.63</v>
      </c>
      <c r="I88" s="7"/>
      <c r="J88" s="7"/>
      <c r="K88" s="7"/>
      <c r="L88" s="16"/>
    </row>
    <row r="89" spans="2:12" ht="20.100000000000001" customHeight="1" x14ac:dyDescent="0.2">
      <c r="B89" s="76"/>
      <c r="C89" s="4" t="s">
        <v>61</v>
      </c>
      <c r="D89" s="40">
        <v>447.01</v>
      </c>
      <c r="E89" s="40">
        <v>471.51</v>
      </c>
      <c r="F89" s="40">
        <v>494.38</v>
      </c>
      <c r="G89" s="40">
        <v>226.18</v>
      </c>
      <c r="H89" s="5">
        <f>SUM(D89:G89)</f>
        <v>1639.0800000000002</v>
      </c>
      <c r="I89" s="16"/>
      <c r="J89" s="16"/>
      <c r="K89" s="16"/>
      <c r="L89" s="16"/>
    </row>
    <row r="90" spans="2:12" ht="20.100000000000001" customHeight="1" x14ac:dyDescent="0.2">
      <c r="B90" s="76"/>
      <c r="C90" s="4" t="s">
        <v>124</v>
      </c>
      <c r="D90" s="40">
        <v>25.67</v>
      </c>
      <c r="E90" s="40">
        <v>21.04</v>
      </c>
      <c r="F90" s="40">
        <v>24.05</v>
      </c>
      <c r="G90" s="40">
        <v>0</v>
      </c>
      <c r="H90" s="5">
        <f>SUM(D90:G90)</f>
        <v>70.760000000000005</v>
      </c>
      <c r="I90" s="7"/>
      <c r="J90" s="7"/>
      <c r="K90" s="7"/>
      <c r="L90" s="16"/>
    </row>
    <row r="91" spans="2:12" ht="20.100000000000001" customHeight="1" x14ac:dyDescent="0.2">
      <c r="B91" s="76"/>
      <c r="C91" s="4" t="s">
        <v>127</v>
      </c>
      <c r="D91" s="40">
        <v>25.67</v>
      </c>
      <c r="E91" s="40">
        <v>21.04</v>
      </c>
      <c r="F91" s="40">
        <v>24.05</v>
      </c>
      <c r="G91" s="40">
        <v>0</v>
      </c>
      <c r="H91" s="5">
        <f>SUM(D91:G91)</f>
        <v>70.760000000000005</v>
      </c>
      <c r="I91" s="7"/>
      <c r="J91" s="7"/>
      <c r="K91" s="7"/>
      <c r="L91" s="16"/>
    </row>
    <row r="92" spans="2:12" ht="21.6" customHeight="1" x14ac:dyDescent="0.2">
      <c r="B92" s="77"/>
      <c r="C92" s="4" t="s">
        <v>39</v>
      </c>
      <c r="D92" s="5">
        <f>SUM(D87:D91)</f>
        <v>815.4899999999999</v>
      </c>
      <c r="E92" s="5">
        <f>SUM(E87:E91)</f>
        <v>741.93</v>
      </c>
      <c r="F92" s="5">
        <f>SUM(F87:F91)</f>
        <v>829.33999999999992</v>
      </c>
      <c r="G92" s="5">
        <f>SUM(G87:G91)</f>
        <v>336.47</v>
      </c>
      <c r="H92" s="5">
        <f>SUM(H87:H91)</f>
        <v>2723.2300000000005</v>
      </c>
      <c r="I92" s="7"/>
      <c r="J92" s="7"/>
      <c r="K92" s="7"/>
      <c r="L92" s="16"/>
    </row>
    <row r="93" spans="2:12" ht="20.100000000000001" customHeight="1" x14ac:dyDescent="0.2">
      <c r="B93" s="75" t="s">
        <v>40</v>
      </c>
      <c r="C93" s="2" t="s">
        <v>59</v>
      </c>
      <c r="D93" s="40">
        <f t="shared" ref="D93:E93" si="1">D75-D81-D87</f>
        <v>0</v>
      </c>
      <c r="E93" s="40">
        <f t="shared" si="1"/>
        <v>0</v>
      </c>
      <c r="F93" s="40">
        <f t="shared" ref="F93:G93" si="2">F75-F81-F87</f>
        <v>0</v>
      </c>
      <c r="G93" s="40">
        <f t="shared" si="2"/>
        <v>0</v>
      </c>
      <c r="H93" s="5">
        <f>SUM(D93:G93)</f>
        <v>0</v>
      </c>
      <c r="I93" s="7"/>
      <c r="J93" s="7"/>
      <c r="K93" s="7"/>
      <c r="L93" s="16"/>
    </row>
    <row r="94" spans="2:12" ht="20.100000000000001" customHeight="1" x14ac:dyDescent="0.2">
      <c r="B94" s="76"/>
      <c r="C94" s="2" t="s">
        <v>60</v>
      </c>
      <c r="D94" s="40">
        <f t="shared" ref="D94:G95" si="3">D76-D82-D88</f>
        <v>785.94999999999993</v>
      </c>
      <c r="E94" s="40">
        <f t="shared" si="3"/>
        <v>696.07999999999993</v>
      </c>
      <c r="F94" s="40">
        <f t="shared" si="3"/>
        <v>757.97000000000014</v>
      </c>
      <c r="G94" s="40">
        <f t="shared" si="3"/>
        <v>132.39999999999998</v>
      </c>
      <c r="H94" s="5">
        <f>SUM(D94:G94)</f>
        <v>2372.4</v>
      </c>
      <c r="I94" s="16"/>
      <c r="J94" s="16"/>
      <c r="K94" s="16"/>
      <c r="L94" s="16"/>
    </row>
    <row r="95" spans="2:12" ht="20.100000000000001" customHeight="1" x14ac:dyDescent="0.2">
      <c r="B95" s="76"/>
      <c r="C95" s="4" t="s">
        <v>61</v>
      </c>
      <c r="D95" s="40">
        <f>D77-D83-D89</f>
        <v>786.68999999999983</v>
      </c>
      <c r="E95" s="40">
        <f t="shared" si="3"/>
        <v>696.74</v>
      </c>
      <c r="F95" s="40">
        <f t="shared" si="3"/>
        <v>809.71000000000015</v>
      </c>
      <c r="G95" s="40">
        <f t="shared" si="3"/>
        <v>130.12</v>
      </c>
      <c r="H95" s="5">
        <f>SUM(D95:G95)</f>
        <v>2423.2599999999998</v>
      </c>
    </row>
    <row r="96" spans="2:12" ht="20.100000000000001" customHeight="1" x14ac:dyDescent="0.2">
      <c r="B96" s="76"/>
      <c r="C96" s="4" t="s">
        <v>124</v>
      </c>
      <c r="D96" s="40">
        <f t="shared" ref="D96:E98" si="4">D78-D84-D90</f>
        <v>953.28000000000009</v>
      </c>
      <c r="E96" s="40">
        <f t="shared" si="4"/>
        <v>807.47</v>
      </c>
      <c r="F96" s="40">
        <f>F78-F84-F90</f>
        <v>1090.0200000000002</v>
      </c>
      <c r="G96" s="40">
        <f t="shared" ref="G96" si="5">G78-G84-G90</f>
        <v>0</v>
      </c>
      <c r="H96" s="5">
        <f>SUM(D96:G96)</f>
        <v>2850.7700000000004</v>
      </c>
    </row>
    <row r="97" spans="2:8" ht="20.100000000000001" customHeight="1" x14ac:dyDescent="0.2">
      <c r="B97" s="76"/>
      <c r="C97" s="4" t="s">
        <v>127</v>
      </c>
      <c r="D97" s="40">
        <f>D79-D85-D91</f>
        <v>953.28000000000009</v>
      </c>
      <c r="E97" s="40">
        <f>E79-E85-E91</f>
        <v>807.47</v>
      </c>
      <c r="F97" s="40">
        <f>F79-F85-F91</f>
        <v>1077.19</v>
      </c>
      <c r="G97" s="40">
        <f>G79-G85-G91</f>
        <v>0</v>
      </c>
      <c r="H97" s="5">
        <f>SUM(D97:G97)</f>
        <v>2837.94</v>
      </c>
    </row>
    <row r="98" spans="2:8" ht="20.100000000000001" customHeight="1" x14ac:dyDescent="0.2">
      <c r="B98" s="77"/>
      <c r="C98" s="4" t="s">
        <v>39</v>
      </c>
      <c r="D98" s="5">
        <f t="shared" si="4"/>
        <v>3479.2</v>
      </c>
      <c r="E98" s="5">
        <f t="shared" si="4"/>
        <v>3007.7600000000007</v>
      </c>
      <c r="F98" s="5">
        <f t="shared" ref="F98:G98" si="6">F80-F86-F92</f>
        <v>3734.8899999999994</v>
      </c>
      <c r="G98" s="5">
        <f t="shared" si="6"/>
        <v>262.52</v>
      </c>
      <c r="H98" s="5">
        <f>H80-H86-H92</f>
        <v>10484.369999999999</v>
      </c>
    </row>
    <row r="99" spans="2:8" ht="20.100000000000001" customHeight="1" x14ac:dyDescent="0.2"/>
    <row r="100" spans="2:8" ht="20.100000000000001" customHeight="1" x14ac:dyDescent="0.2"/>
    <row r="101" spans="2:8" ht="20.100000000000001" customHeight="1" x14ac:dyDescent="0.2"/>
    <row r="102" spans="2:8" ht="20.100000000000001" customHeight="1" x14ac:dyDescent="0.2"/>
    <row r="103" spans="2:8" ht="20.100000000000001" customHeight="1" x14ac:dyDescent="0.2">
      <c r="B103" s="80" t="s">
        <v>65</v>
      </c>
      <c r="C103" s="4" t="s">
        <v>134</v>
      </c>
      <c r="D103" s="4" t="s">
        <v>67</v>
      </c>
      <c r="E103" s="4" t="s">
        <v>126</v>
      </c>
    </row>
    <row r="104" spans="2:8" ht="20.100000000000001" customHeight="1" x14ac:dyDescent="0.2">
      <c r="B104" s="81"/>
      <c r="C104" s="43">
        <f>D108/50</f>
        <v>209.68739999999997</v>
      </c>
      <c r="D104" s="78">
        <v>220</v>
      </c>
      <c r="E104" s="78">
        <v>51</v>
      </c>
    </row>
    <row r="105" spans="2:8" ht="20.100000000000001" customHeight="1" x14ac:dyDescent="0.2">
      <c r="B105" s="82"/>
      <c r="C105" s="44">
        <v>220</v>
      </c>
      <c r="D105" s="79"/>
      <c r="E105" s="79"/>
    </row>
    <row r="106" spans="2:8" ht="20.100000000000001" customHeight="1" x14ac:dyDescent="0.2">
      <c r="B106" s="6"/>
      <c r="C106" s="7"/>
      <c r="D106" s="8"/>
      <c r="E106" s="9"/>
    </row>
    <row r="107" spans="2:8" ht="20.100000000000001" customHeight="1" x14ac:dyDescent="0.2">
      <c r="B107" s="10"/>
      <c r="C107" s="80" t="s">
        <v>83</v>
      </c>
      <c r="D107" s="5" t="s">
        <v>84</v>
      </c>
    </row>
    <row r="108" spans="2:8" ht="20.100000000000001" customHeight="1" x14ac:dyDescent="0.2">
      <c r="B108" s="10"/>
      <c r="C108" s="82"/>
      <c r="D108" s="45">
        <f>H98</f>
        <v>10484.369999999999</v>
      </c>
    </row>
    <row r="109" spans="2:8" ht="20.100000000000001" customHeight="1" x14ac:dyDescent="0.2"/>
    <row r="110" spans="2:8" ht="20.100000000000001" customHeight="1" x14ac:dyDescent="0.2">
      <c r="B110" s="11" t="s">
        <v>70</v>
      </c>
      <c r="C110" s="7"/>
      <c r="D110" s="8"/>
    </row>
    <row r="111" spans="2:8" ht="20.100000000000001" customHeight="1" x14ac:dyDescent="0.2"/>
    <row r="112" spans="2:8" ht="20.100000000000001" customHeight="1" x14ac:dyDescent="0.2">
      <c r="B112" s="80" t="s">
        <v>66</v>
      </c>
      <c r="C112" s="4" t="s">
        <v>135</v>
      </c>
      <c r="D112" s="4" t="s">
        <v>68</v>
      </c>
      <c r="E112" s="4" t="s">
        <v>69</v>
      </c>
    </row>
    <row r="113" spans="2:5" ht="20.100000000000001" customHeight="1" x14ac:dyDescent="0.2">
      <c r="B113" s="81"/>
      <c r="C113" s="73">
        <f>D117/20</f>
        <v>524.21849999999995</v>
      </c>
      <c r="D113" s="73">
        <f>C113</f>
        <v>524.21849999999995</v>
      </c>
      <c r="E113" s="73">
        <v>568.6</v>
      </c>
    </row>
    <row r="114" spans="2:5" ht="20.100000000000001" customHeight="1" x14ac:dyDescent="0.2">
      <c r="B114" s="82"/>
      <c r="C114" s="74"/>
      <c r="D114" s="74"/>
      <c r="E114" s="74"/>
    </row>
    <row r="115" spans="2:5" ht="20.100000000000001" customHeight="1" x14ac:dyDescent="0.2">
      <c r="B115" s="6"/>
      <c r="C115" s="7"/>
      <c r="D115" s="8"/>
      <c r="E115" s="9"/>
    </row>
    <row r="116" spans="2:5" ht="20.100000000000001" customHeight="1" x14ac:dyDescent="0.2">
      <c r="C116" s="17" t="s">
        <v>83</v>
      </c>
      <c r="D116" s="5" t="s">
        <v>84</v>
      </c>
    </row>
    <row r="117" spans="2:5" ht="20.100000000000001" customHeight="1" x14ac:dyDescent="0.2">
      <c r="C117" s="18"/>
      <c r="D117" s="45">
        <f>H98</f>
        <v>10484.369999999999</v>
      </c>
    </row>
    <row r="118" spans="2:5" ht="20.100000000000001" customHeight="1" x14ac:dyDescent="0.2"/>
    <row r="119" spans="2:5" ht="20.100000000000001" customHeight="1" x14ac:dyDescent="0.2">
      <c r="B119" s="23" t="s">
        <v>85</v>
      </c>
      <c r="C119" s="24"/>
      <c r="D119" s="24"/>
      <c r="E119" s="25"/>
    </row>
    <row r="120" spans="2:5" ht="20.100000000000001" customHeight="1" x14ac:dyDescent="0.2">
      <c r="B120" s="26" t="s">
        <v>86</v>
      </c>
      <c r="C120" s="27"/>
      <c r="D120" s="28" t="s">
        <v>87</v>
      </c>
      <c r="E120" s="29"/>
    </row>
    <row r="121" spans="2:5" ht="20.100000000000001" customHeight="1" x14ac:dyDescent="0.2">
      <c r="B121" s="26" t="s">
        <v>88</v>
      </c>
      <c r="C121" s="27"/>
      <c r="D121" s="28" t="s">
        <v>89</v>
      </c>
      <c r="E121" s="29"/>
    </row>
    <row r="122" spans="2:5" ht="20.100000000000001" customHeight="1" x14ac:dyDescent="0.2">
      <c r="B122" s="26" t="s">
        <v>90</v>
      </c>
      <c r="C122" s="27"/>
      <c r="D122" s="28" t="s">
        <v>91</v>
      </c>
      <c r="E122" s="29"/>
    </row>
    <row r="123" spans="2:5" ht="20.100000000000001" customHeight="1" x14ac:dyDescent="0.2">
      <c r="B123" s="26" t="s">
        <v>92</v>
      </c>
      <c r="C123" s="27"/>
      <c r="D123" s="28" t="s">
        <v>93</v>
      </c>
      <c r="E123" s="29"/>
    </row>
    <row r="124" spans="2:5" ht="20.100000000000001" customHeight="1" x14ac:dyDescent="0.2">
      <c r="B124" s="30" t="s">
        <v>94</v>
      </c>
      <c r="C124" s="30"/>
      <c r="D124" s="31" t="s">
        <v>95</v>
      </c>
      <c r="E124" s="31"/>
    </row>
    <row r="125" spans="2:5" ht="20.100000000000001" customHeight="1" x14ac:dyDescent="0.2">
      <c r="B125" s="26" t="s">
        <v>96</v>
      </c>
      <c r="C125" s="27"/>
      <c r="D125" s="28" t="s">
        <v>97</v>
      </c>
      <c r="E125" s="29"/>
    </row>
    <row r="126" spans="2:5" ht="20.100000000000001" customHeight="1" x14ac:dyDescent="0.2">
      <c r="B126" s="26" t="s">
        <v>98</v>
      </c>
      <c r="C126" s="27"/>
      <c r="D126" s="28" t="s">
        <v>99</v>
      </c>
      <c r="E126" s="29"/>
    </row>
    <row r="127" spans="2:5" ht="20.100000000000001" customHeight="1" x14ac:dyDescent="0.2">
      <c r="B127" s="26" t="s">
        <v>100</v>
      </c>
      <c r="C127" s="27"/>
      <c r="D127" s="28" t="s">
        <v>101</v>
      </c>
      <c r="E127" s="29"/>
    </row>
    <row r="128" spans="2:5" ht="20.100000000000001" customHeight="1" x14ac:dyDescent="0.2">
      <c r="B128" s="26" t="s">
        <v>102</v>
      </c>
      <c r="C128" s="27"/>
      <c r="D128" s="28" t="s">
        <v>103</v>
      </c>
      <c r="E128" s="29"/>
    </row>
    <row r="129" spans="2:5" ht="20.100000000000001" customHeight="1" x14ac:dyDescent="0.2">
      <c r="B129" s="26" t="s">
        <v>104</v>
      </c>
      <c r="C129" s="27"/>
      <c r="D129" s="28" t="s">
        <v>101</v>
      </c>
      <c r="E129" s="29"/>
    </row>
    <row r="130" spans="2:5" ht="20.100000000000001" customHeight="1" x14ac:dyDescent="0.2"/>
    <row r="131" spans="2:5" ht="20.100000000000001" customHeight="1" x14ac:dyDescent="0.2">
      <c r="B131" s="23" t="s">
        <v>105</v>
      </c>
      <c r="C131" s="24"/>
      <c r="D131" s="24"/>
      <c r="E131" s="25"/>
    </row>
    <row r="132" spans="2:5" ht="20.100000000000001" customHeight="1" x14ac:dyDescent="0.2">
      <c r="B132" s="26" t="s">
        <v>106</v>
      </c>
      <c r="C132" s="27"/>
      <c r="D132" s="32" t="s">
        <v>107</v>
      </c>
      <c r="E132" s="33"/>
    </row>
    <row r="133" spans="2:5" ht="20.100000000000001" customHeight="1" x14ac:dyDescent="0.2">
      <c r="B133" s="26" t="s">
        <v>108</v>
      </c>
      <c r="C133" s="27"/>
      <c r="D133" s="32" t="s">
        <v>101</v>
      </c>
      <c r="E133" s="33"/>
    </row>
    <row r="134" spans="2:5" ht="20.100000000000001" customHeight="1" x14ac:dyDescent="0.2">
      <c r="B134" s="26" t="s">
        <v>109</v>
      </c>
      <c r="C134" s="27"/>
      <c r="D134" s="32" t="s">
        <v>101</v>
      </c>
      <c r="E134" s="33"/>
    </row>
    <row r="135" spans="2:5" ht="20.100000000000001" customHeight="1" x14ac:dyDescent="0.2">
      <c r="B135" s="26" t="s">
        <v>110</v>
      </c>
      <c r="C135" s="27"/>
      <c r="D135" s="32" t="s">
        <v>107</v>
      </c>
      <c r="E135" s="33"/>
    </row>
    <row r="136" spans="2:5" ht="20.100000000000001" customHeight="1" x14ac:dyDescent="0.2">
      <c r="B136" s="26" t="s">
        <v>111</v>
      </c>
      <c r="C136" s="27"/>
      <c r="D136" s="32" t="s">
        <v>107</v>
      </c>
      <c r="E136" s="33"/>
    </row>
    <row r="137" spans="2:5" ht="20.100000000000001" customHeight="1" x14ac:dyDescent="0.2">
      <c r="B137" s="26" t="s">
        <v>112</v>
      </c>
      <c r="C137" s="27"/>
      <c r="D137" s="32" t="s">
        <v>107</v>
      </c>
      <c r="E137" s="33"/>
    </row>
    <row r="138" spans="2:5" ht="20.100000000000001" customHeight="1" x14ac:dyDescent="0.2">
      <c r="B138" s="26" t="s">
        <v>113</v>
      </c>
      <c r="C138" s="27"/>
      <c r="D138" s="32" t="s">
        <v>101</v>
      </c>
      <c r="E138" s="33"/>
    </row>
    <row r="139" spans="2:5" ht="20.100000000000001" customHeight="1" x14ac:dyDescent="0.2">
      <c r="B139" s="26" t="s">
        <v>114</v>
      </c>
      <c r="C139" s="27"/>
      <c r="D139" s="32" t="s">
        <v>101</v>
      </c>
      <c r="E139" s="33"/>
    </row>
    <row r="140" spans="2:5" ht="20.100000000000001" customHeight="1" x14ac:dyDescent="0.2">
      <c r="B140" s="26" t="s">
        <v>115</v>
      </c>
      <c r="C140" s="27"/>
      <c r="D140" s="32" t="s">
        <v>107</v>
      </c>
      <c r="E140" s="33"/>
    </row>
    <row r="141" spans="2:5" ht="20.100000000000001" customHeight="1" x14ac:dyDescent="0.2"/>
    <row r="142" spans="2:5" ht="20.100000000000001" customHeight="1" x14ac:dyDescent="0.2">
      <c r="B142" s="23" t="s">
        <v>116</v>
      </c>
      <c r="C142" s="24"/>
      <c r="D142" s="24"/>
      <c r="E142" s="25"/>
    </row>
    <row r="143" spans="2:5" ht="20.100000000000001" customHeight="1" x14ac:dyDescent="0.2">
      <c r="B143" s="26" t="s">
        <v>117</v>
      </c>
      <c r="C143" s="27"/>
      <c r="D143" s="32" t="s">
        <v>101</v>
      </c>
      <c r="E143" s="33"/>
    </row>
    <row r="144" spans="2:5" ht="20.100000000000001" customHeight="1" x14ac:dyDescent="0.2">
      <c r="B144" s="26" t="s">
        <v>118</v>
      </c>
      <c r="C144" s="27"/>
      <c r="D144" s="32" t="s">
        <v>101</v>
      </c>
      <c r="E144" s="33"/>
    </row>
    <row r="145" spans="2:5" ht="20.100000000000001" customHeight="1" x14ac:dyDescent="0.2">
      <c r="B145" s="26" t="s">
        <v>119</v>
      </c>
      <c r="C145" s="27"/>
      <c r="D145" s="32" t="s">
        <v>101</v>
      </c>
      <c r="E145" s="33"/>
    </row>
    <row r="146" spans="2:5" ht="20.100000000000001" customHeight="1" x14ac:dyDescent="0.2">
      <c r="B146" s="26" t="s">
        <v>120</v>
      </c>
      <c r="C146" s="27"/>
      <c r="D146" s="32" t="s">
        <v>101</v>
      </c>
      <c r="E146" s="33"/>
    </row>
    <row r="147" spans="2:5" ht="20.100000000000001" customHeight="1" x14ac:dyDescent="0.2"/>
    <row r="148" spans="2:5" ht="20.100000000000001" customHeight="1" x14ac:dyDescent="0.2"/>
    <row r="149" spans="2:5" ht="20.100000000000001" customHeight="1" x14ac:dyDescent="0.2"/>
    <row r="150" spans="2:5" ht="20.100000000000001" customHeight="1" x14ac:dyDescent="0.2"/>
    <row r="151" spans="2:5" ht="20.100000000000001" customHeight="1" x14ac:dyDescent="0.2"/>
    <row r="152" spans="2:5" ht="20.100000000000001" customHeight="1" x14ac:dyDescent="0.2"/>
    <row r="153" spans="2:5" ht="20.100000000000001" customHeight="1" x14ac:dyDescent="0.2"/>
    <row r="154" spans="2:5" ht="20.100000000000001" customHeight="1" x14ac:dyDescent="0.2"/>
    <row r="155" spans="2:5" ht="20.100000000000001" customHeight="1" x14ac:dyDescent="0.2"/>
    <row r="156" spans="2:5" ht="20.100000000000001" customHeight="1" x14ac:dyDescent="0.2"/>
    <row r="157" spans="2:5" ht="20.100000000000001" customHeight="1" x14ac:dyDescent="0.2"/>
    <row r="158" spans="2:5" ht="20.100000000000001" customHeight="1" x14ac:dyDescent="0.2"/>
    <row r="159" spans="2:5" ht="20.100000000000001" customHeight="1" x14ac:dyDescent="0.2"/>
    <row r="160" spans="2:5" ht="20.100000000000001" customHeight="1" x14ac:dyDescent="0.2"/>
    <row r="161" ht="20.100000000000001" customHeight="1" x14ac:dyDescent="0.2"/>
    <row r="162" ht="20.100000000000001" customHeight="1" x14ac:dyDescent="0.2"/>
    <row r="163" ht="20.100000000000001" customHeight="1" x14ac:dyDescent="0.2"/>
    <row r="164" ht="20.100000000000001" customHeight="1" x14ac:dyDescent="0.2"/>
    <row r="165" ht="20.100000000000001" customHeight="1" x14ac:dyDescent="0.2"/>
    <row r="166" ht="20.100000000000001" customHeight="1" x14ac:dyDescent="0.2"/>
    <row r="167" ht="20.100000000000001" customHeight="1" x14ac:dyDescent="0.2"/>
    <row r="168" ht="20.100000000000001" customHeight="1" x14ac:dyDescent="0.2"/>
    <row r="169" ht="20.100000000000001" customHeight="1" x14ac:dyDescent="0.2"/>
    <row r="170" ht="20.100000000000001" customHeight="1" x14ac:dyDescent="0.2"/>
    <row r="171" ht="20.100000000000001" customHeight="1" x14ac:dyDescent="0.2"/>
    <row r="172" ht="20.100000000000001" customHeight="1" x14ac:dyDescent="0.2"/>
    <row r="173" ht="20.100000000000001" customHeight="1" x14ac:dyDescent="0.2"/>
  </sheetData>
  <mergeCells count="16">
    <mergeCell ref="B3:C3"/>
    <mergeCell ref="B4:C4"/>
    <mergeCell ref="B25:C25"/>
    <mergeCell ref="B26:C26"/>
    <mergeCell ref="B112:B114"/>
    <mergeCell ref="C113:C114"/>
    <mergeCell ref="D113:D114"/>
    <mergeCell ref="E113:E114"/>
    <mergeCell ref="B75:B80"/>
    <mergeCell ref="B81:B86"/>
    <mergeCell ref="E104:E105"/>
    <mergeCell ref="D104:D105"/>
    <mergeCell ref="B103:B105"/>
    <mergeCell ref="C107:C108"/>
    <mergeCell ref="B87:B92"/>
    <mergeCell ref="B93:B98"/>
  </mergeCells>
  <phoneticPr fontId="12" type="noConversion"/>
  <pageMargins left="0.7" right="0.7" top="0.75" bottom="0.75" header="0.3" footer="0.3"/>
  <pageSetup paperSize="9" orientation="portrait" horizontalDpi="1200" verticalDpi="1200" r:id="rId1"/>
  <ignoredErrors>
    <ignoredError sqref="I38 I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6"/>
  <sheetViews>
    <sheetView tabSelected="1" zoomScaleNormal="100" workbookViewId="0">
      <selection activeCell="E350" sqref="E350"/>
    </sheetView>
  </sheetViews>
  <sheetFormatPr defaultRowHeight="15" x14ac:dyDescent="0.25"/>
  <cols>
    <col min="1" max="2" width="10.5703125" style="50" customWidth="1"/>
    <col min="3" max="3" width="11" style="50" customWidth="1"/>
    <col min="4" max="4" width="12.85546875" style="50" bestFit="1" customWidth="1"/>
    <col min="5" max="5" width="23.140625" style="50" bestFit="1" customWidth="1"/>
    <col min="6" max="6" width="16" style="50" customWidth="1"/>
    <col min="7" max="7" width="16.140625" style="58" customWidth="1"/>
  </cols>
  <sheetData>
    <row r="1" spans="1:7" ht="37.5" customHeight="1" x14ac:dyDescent="0.25">
      <c r="A1" s="85" t="s">
        <v>138</v>
      </c>
      <c r="B1" s="86"/>
      <c r="C1" s="86"/>
      <c r="D1" s="86"/>
      <c r="E1" s="86"/>
      <c r="F1" s="86"/>
      <c r="G1" s="87"/>
    </row>
    <row r="2" spans="1:7" ht="18.75" x14ac:dyDescent="0.25">
      <c r="A2" s="88" t="s">
        <v>494</v>
      </c>
      <c r="B2" s="89"/>
      <c r="C2" s="89"/>
      <c r="D2" s="89"/>
      <c r="E2" s="89"/>
      <c r="F2" s="89"/>
      <c r="G2" s="90"/>
    </row>
    <row r="3" spans="1:7" x14ac:dyDescent="0.25">
      <c r="A3" s="48" t="s">
        <v>52</v>
      </c>
      <c r="B3" s="48" t="s">
        <v>53</v>
      </c>
      <c r="C3" s="48" t="s">
        <v>498</v>
      </c>
      <c r="D3" s="49" t="s">
        <v>54</v>
      </c>
      <c r="E3" s="48" t="s">
        <v>55</v>
      </c>
      <c r="F3" s="48" t="s">
        <v>146</v>
      </c>
      <c r="G3" s="57" t="s">
        <v>577</v>
      </c>
    </row>
    <row r="4" spans="1:7" x14ac:dyDescent="0.25">
      <c r="A4" s="51" t="s">
        <v>131</v>
      </c>
      <c r="B4" s="52">
        <v>1</v>
      </c>
      <c r="C4" s="67">
        <v>201</v>
      </c>
      <c r="D4" s="51" t="s">
        <v>124</v>
      </c>
      <c r="E4" s="50" t="s">
        <v>133</v>
      </c>
      <c r="F4" s="53" t="s">
        <v>147</v>
      </c>
      <c r="G4" s="57">
        <v>462052</v>
      </c>
    </row>
    <row r="5" spans="1:7" x14ac:dyDescent="0.25">
      <c r="A5" s="51" t="s">
        <v>131</v>
      </c>
      <c r="B5" s="51">
        <v>2</v>
      </c>
      <c r="C5" s="68">
        <v>202</v>
      </c>
      <c r="D5" s="51" t="s">
        <v>124</v>
      </c>
      <c r="E5" s="50" t="s">
        <v>133</v>
      </c>
      <c r="F5" s="53" t="s">
        <v>148</v>
      </c>
      <c r="G5" s="57">
        <v>462053</v>
      </c>
    </row>
    <row r="6" spans="1:7" x14ac:dyDescent="0.25">
      <c r="A6" s="51" t="s">
        <v>131</v>
      </c>
      <c r="B6" s="51">
        <v>3</v>
      </c>
      <c r="C6" s="68">
        <v>203</v>
      </c>
      <c r="D6" s="51" t="s">
        <v>124</v>
      </c>
      <c r="E6" s="50" t="s">
        <v>133</v>
      </c>
      <c r="F6" s="53" t="s">
        <v>149</v>
      </c>
      <c r="G6" s="57">
        <v>462054</v>
      </c>
    </row>
    <row r="7" spans="1:7" x14ac:dyDescent="0.25">
      <c r="A7" s="51" t="s">
        <v>131</v>
      </c>
      <c r="B7" s="51">
        <v>4</v>
      </c>
      <c r="C7" s="67">
        <v>204</v>
      </c>
      <c r="D7" s="51" t="s">
        <v>124</v>
      </c>
      <c r="E7" s="50" t="s">
        <v>133</v>
      </c>
      <c r="F7" s="53" t="s">
        <v>150</v>
      </c>
      <c r="G7" s="57">
        <v>462055</v>
      </c>
    </row>
    <row r="8" spans="1:7" x14ac:dyDescent="0.25">
      <c r="A8" s="51" t="s">
        <v>131</v>
      </c>
      <c r="B8" s="51">
        <v>5</v>
      </c>
      <c r="C8" s="68">
        <v>205</v>
      </c>
      <c r="D8" s="51" t="s">
        <v>124</v>
      </c>
      <c r="E8" s="50" t="s">
        <v>133</v>
      </c>
      <c r="F8" s="53" t="s">
        <v>151</v>
      </c>
      <c r="G8" s="57">
        <v>462056</v>
      </c>
    </row>
    <row r="9" spans="1:7" x14ac:dyDescent="0.25">
      <c r="A9" s="51" t="s">
        <v>131</v>
      </c>
      <c r="B9" s="51">
        <v>6</v>
      </c>
      <c r="C9" s="68">
        <v>206</v>
      </c>
      <c r="D9" s="51" t="s">
        <v>124</v>
      </c>
      <c r="E9" s="50" t="s">
        <v>133</v>
      </c>
      <c r="F9" s="53" t="s">
        <v>152</v>
      </c>
      <c r="G9" s="57">
        <v>462057</v>
      </c>
    </row>
    <row r="10" spans="1:7" x14ac:dyDescent="0.25">
      <c r="A10" s="51" t="s">
        <v>131</v>
      </c>
      <c r="B10" s="51">
        <v>7</v>
      </c>
      <c r="C10" s="67">
        <v>207</v>
      </c>
      <c r="D10" s="51" t="s">
        <v>124</v>
      </c>
      <c r="E10" s="50" t="s">
        <v>133</v>
      </c>
      <c r="F10" s="53" t="s">
        <v>153</v>
      </c>
      <c r="G10" s="57">
        <v>462058</v>
      </c>
    </row>
    <row r="11" spans="1:7" x14ac:dyDescent="0.25">
      <c r="A11" s="51" t="s">
        <v>131</v>
      </c>
      <c r="B11" s="51">
        <v>8</v>
      </c>
      <c r="C11" s="68">
        <v>208</v>
      </c>
      <c r="D11" s="51" t="s">
        <v>124</v>
      </c>
      <c r="E11" s="50" t="s">
        <v>133</v>
      </c>
      <c r="F11" s="53" t="s">
        <v>154</v>
      </c>
      <c r="G11" s="57">
        <v>462059</v>
      </c>
    </row>
    <row r="12" spans="1:7" x14ac:dyDescent="0.25">
      <c r="A12" s="51" t="s">
        <v>131</v>
      </c>
      <c r="B12" s="51">
        <v>9</v>
      </c>
      <c r="C12" s="68">
        <v>209</v>
      </c>
      <c r="D12" s="51" t="s">
        <v>124</v>
      </c>
      <c r="E12" s="50" t="s">
        <v>133</v>
      </c>
      <c r="F12" s="53" t="s">
        <v>155</v>
      </c>
      <c r="G12" s="57">
        <v>462060</v>
      </c>
    </row>
    <row r="13" spans="1:7" x14ac:dyDescent="0.25">
      <c r="A13" s="51" t="s">
        <v>131</v>
      </c>
      <c r="B13" s="51">
        <v>10</v>
      </c>
      <c r="C13" s="67">
        <v>210</v>
      </c>
      <c r="D13" s="51" t="s">
        <v>124</v>
      </c>
      <c r="E13" s="50" t="s">
        <v>133</v>
      </c>
      <c r="F13" s="53" t="s">
        <v>156</v>
      </c>
      <c r="G13" s="57">
        <v>462061</v>
      </c>
    </row>
    <row r="14" spans="1:7" x14ac:dyDescent="0.25">
      <c r="A14" s="51" t="s">
        <v>131</v>
      </c>
      <c r="B14" s="51">
        <v>11</v>
      </c>
      <c r="C14" s="68">
        <v>211</v>
      </c>
      <c r="D14" s="51" t="s">
        <v>124</v>
      </c>
      <c r="E14" s="50" t="s">
        <v>133</v>
      </c>
      <c r="F14" s="53" t="s">
        <v>157</v>
      </c>
      <c r="G14" s="57">
        <v>462062</v>
      </c>
    </row>
    <row r="15" spans="1:7" x14ac:dyDescent="0.25">
      <c r="A15" s="51" t="s">
        <v>131</v>
      </c>
      <c r="B15" s="51">
        <v>12</v>
      </c>
      <c r="C15" s="68">
        <v>212</v>
      </c>
      <c r="D15" s="51" t="s">
        <v>124</v>
      </c>
      <c r="E15" s="50" t="s">
        <v>133</v>
      </c>
      <c r="F15" s="53" t="s">
        <v>158</v>
      </c>
      <c r="G15" s="57">
        <v>462063</v>
      </c>
    </row>
    <row r="16" spans="1:7" x14ac:dyDescent="0.25">
      <c r="A16" s="51" t="s">
        <v>131</v>
      </c>
      <c r="B16" s="51">
        <v>13</v>
      </c>
      <c r="C16" s="67">
        <v>213</v>
      </c>
      <c r="D16" s="51" t="s">
        <v>124</v>
      </c>
      <c r="E16" s="50" t="s">
        <v>133</v>
      </c>
      <c r="F16" s="53" t="s">
        <v>160</v>
      </c>
      <c r="G16" s="57">
        <v>462064</v>
      </c>
    </row>
    <row r="17" spans="1:7" x14ac:dyDescent="0.25">
      <c r="A17" s="51" t="s">
        <v>131</v>
      </c>
      <c r="B17" s="51">
        <v>14</v>
      </c>
      <c r="C17" s="68">
        <v>214</v>
      </c>
      <c r="D17" s="51" t="s">
        <v>124</v>
      </c>
      <c r="E17" s="50" t="s">
        <v>133</v>
      </c>
      <c r="F17" s="53" t="s">
        <v>159</v>
      </c>
      <c r="G17" s="57">
        <v>462065</v>
      </c>
    </row>
    <row r="18" spans="1:7" x14ac:dyDescent="0.25">
      <c r="A18" s="51" t="s">
        <v>131</v>
      </c>
      <c r="B18" s="51">
        <v>15</v>
      </c>
      <c r="C18" s="68">
        <v>215</v>
      </c>
      <c r="D18" s="51" t="s">
        <v>124</v>
      </c>
      <c r="E18" s="50" t="s">
        <v>133</v>
      </c>
      <c r="F18" s="53" t="s">
        <v>161</v>
      </c>
      <c r="G18" s="57">
        <v>462066</v>
      </c>
    </row>
    <row r="19" spans="1:7" x14ac:dyDescent="0.25">
      <c r="A19" s="51" t="s">
        <v>131</v>
      </c>
      <c r="B19" s="51">
        <v>16</v>
      </c>
      <c r="C19" s="67">
        <v>216</v>
      </c>
      <c r="D19" s="51" t="s">
        <v>124</v>
      </c>
      <c r="E19" s="50" t="s">
        <v>133</v>
      </c>
      <c r="F19" s="53" t="s">
        <v>162</v>
      </c>
      <c r="G19" s="57">
        <v>462067</v>
      </c>
    </row>
    <row r="20" spans="1:7" x14ac:dyDescent="0.25">
      <c r="A20" s="51" t="s">
        <v>131</v>
      </c>
      <c r="B20" s="51">
        <v>17</v>
      </c>
      <c r="C20" s="68">
        <v>217</v>
      </c>
      <c r="D20" s="51" t="s">
        <v>124</v>
      </c>
      <c r="E20" s="50" t="s">
        <v>133</v>
      </c>
      <c r="F20" s="53" t="s">
        <v>164</v>
      </c>
      <c r="G20" s="57">
        <v>462068</v>
      </c>
    </row>
    <row r="21" spans="1:7" x14ac:dyDescent="0.25">
      <c r="A21" s="51" t="s">
        <v>131</v>
      </c>
      <c r="B21" s="51">
        <v>18</v>
      </c>
      <c r="C21" s="68">
        <v>218</v>
      </c>
      <c r="D21" s="51" t="s">
        <v>124</v>
      </c>
      <c r="E21" s="50" t="s">
        <v>133</v>
      </c>
      <c r="F21" s="53" t="s">
        <v>163</v>
      </c>
      <c r="G21" s="57">
        <v>462069</v>
      </c>
    </row>
    <row r="22" spans="1:7" x14ac:dyDescent="0.25">
      <c r="A22" s="51" t="s">
        <v>131</v>
      </c>
      <c r="B22" s="51">
        <v>19</v>
      </c>
      <c r="C22" s="67">
        <v>219</v>
      </c>
      <c r="D22" s="51" t="s">
        <v>124</v>
      </c>
      <c r="E22" s="50" t="s">
        <v>133</v>
      </c>
      <c r="F22" s="53" t="s">
        <v>167</v>
      </c>
      <c r="G22" s="57">
        <v>462070</v>
      </c>
    </row>
    <row r="23" spans="1:7" x14ac:dyDescent="0.25">
      <c r="A23" s="51" t="s">
        <v>131</v>
      </c>
      <c r="B23" s="51">
        <v>20</v>
      </c>
      <c r="C23" s="68">
        <v>220</v>
      </c>
      <c r="D23" s="51" t="s">
        <v>124</v>
      </c>
      <c r="E23" s="50" t="s">
        <v>133</v>
      </c>
      <c r="F23" s="53" t="s">
        <v>165</v>
      </c>
      <c r="G23" s="57">
        <v>462071</v>
      </c>
    </row>
    <row r="24" spans="1:7" x14ac:dyDescent="0.25">
      <c r="A24" s="51" t="s">
        <v>131</v>
      </c>
      <c r="B24" s="51">
        <v>21</v>
      </c>
      <c r="C24" s="68">
        <v>221</v>
      </c>
      <c r="D24" s="51" t="s">
        <v>124</v>
      </c>
      <c r="E24" s="50" t="s">
        <v>133</v>
      </c>
      <c r="F24" s="53" t="s">
        <v>166</v>
      </c>
      <c r="G24" s="57">
        <v>462072</v>
      </c>
    </row>
    <row r="25" spans="1:7" x14ac:dyDescent="0.25">
      <c r="A25" s="51" t="s">
        <v>131</v>
      </c>
      <c r="B25" s="51">
        <v>22</v>
      </c>
      <c r="C25" s="68">
        <v>301</v>
      </c>
      <c r="D25" s="51" t="s">
        <v>127</v>
      </c>
      <c r="E25" s="50" t="s">
        <v>133</v>
      </c>
      <c r="F25" s="53" t="s">
        <v>168</v>
      </c>
      <c r="G25" s="57">
        <v>462073</v>
      </c>
    </row>
    <row r="26" spans="1:7" x14ac:dyDescent="0.25">
      <c r="A26" s="51" t="s">
        <v>131</v>
      </c>
      <c r="B26" s="51">
        <v>23</v>
      </c>
      <c r="C26" s="68">
        <v>302</v>
      </c>
      <c r="D26" s="51" t="s">
        <v>127</v>
      </c>
      <c r="E26" s="50" t="s">
        <v>133</v>
      </c>
      <c r="F26" s="53" t="s">
        <v>169</v>
      </c>
      <c r="G26" s="57">
        <v>462074</v>
      </c>
    </row>
    <row r="27" spans="1:7" x14ac:dyDescent="0.25">
      <c r="A27" s="51" t="s">
        <v>131</v>
      </c>
      <c r="B27" s="51">
        <v>24</v>
      </c>
      <c r="C27" s="68">
        <v>303</v>
      </c>
      <c r="D27" s="51" t="s">
        <v>127</v>
      </c>
      <c r="E27" s="50" t="s">
        <v>133</v>
      </c>
      <c r="F27" s="53" t="s">
        <v>170</v>
      </c>
      <c r="G27" s="57">
        <v>462075</v>
      </c>
    </row>
    <row r="28" spans="1:7" x14ac:dyDescent="0.25">
      <c r="A28" s="51" t="s">
        <v>131</v>
      </c>
      <c r="B28" s="51">
        <v>25</v>
      </c>
      <c r="C28" s="68">
        <v>304</v>
      </c>
      <c r="D28" s="51" t="s">
        <v>127</v>
      </c>
      <c r="E28" s="50" t="s">
        <v>133</v>
      </c>
      <c r="F28" s="53" t="s">
        <v>171</v>
      </c>
      <c r="G28" s="57">
        <v>462076</v>
      </c>
    </row>
    <row r="29" spans="1:7" x14ac:dyDescent="0.25">
      <c r="A29" s="51" t="s">
        <v>131</v>
      </c>
      <c r="B29" s="51">
        <v>26</v>
      </c>
      <c r="C29" s="68">
        <v>305</v>
      </c>
      <c r="D29" s="51" t="s">
        <v>127</v>
      </c>
      <c r="E29" s="50" t="s">
        <v>133</v>
      </c>
      <c r="F29" s="53" t="s">
        <v>172</v>
      </c>
      <c r="G29" s="57">
        <v>462077</v>
      </c>
    </row>
    <row r="30" spans="1:7" x14ac:dyDescent="0.25">
      <c r="A30" s="51" t="s">
        <v>131</v>
      </c>
      <c r="B30" s="51">
        <v>27</v>
      </c>
      <c r="C30" s="68">
        <v>306</v>
      </c>
      <c r="D30" s="51" t="s">
        <v>127</v>
      </c>
      <c r="E30" s="50" t="s">
        <v>133</v>
      </c>
      <c r="F30" s="53" t="s">
        <v>173</v>
      </c>
      <c r="G30" s="57">
        <v>462078</v>
      </c>
    </row>
    <row r="31" spans="1:7" x14ac:dyDescent="0.25">
      <c r="A31" s="51" t="s">
        <v>131</v>
      </c>
      <c r="B31" s="51">
        <v>28</v>
      </c>
      <c r="C31" s="68">
        <v>307</v>
      </c>
      <c r="D31" s="51" t="s">
        <v>127</v>
      </c>
      <c r="E31" s="50" t="s">
        <v>133</v>
      </c>
      <c r="F31" s="53" t="s">
        <v>174</v>
      </c>
      <c r="G31" s="57">
        <v>462079</v>
      </c>
    </row>
    <row r="32" spans="1:7" x14ac:dyDescent="0.25">
      <c r="A32" s="51" t="s">
        <v>131</v>
      </c>
      <c r="B32" s="51">
        <v>29</v>
      </c>
      <c r="C32" s="68">
        <v>308</v>
      </c>
      <c r="D32" s="51" t="s">
        <v>127</v>
      </c>
      <c r="E32" s="50" t="s">
        <v>133</v>
      </c>
      <c r="F32" s="53" t="s">
        <v>175</v>
      </c>
      <c r="G32" s="57">
        <v>462080</v>
      </c>
    </row>
    <row r="33" spans="1:7" x14ac:dyDescent="0.25">
      <c r="A33" s="51" t="s">
        <v>131</v>
      </c>
      <c r="B33" s="51">
        <v>30</v>
      </c>
      <c r="C33" s="68">
        <v>309</v>
      </c>
      <c r="D33" s="51" t="s">
        <v>127</v>
      </c>
      <c r="E33" s="50" t="s">
        <v>133</v>
      </c>
      <c r="F33" s="53" t="s">
        <v>176</v>
      </c>
      <c r="G33" s="57">
        <v>462081</v>
      </c>
    </row>
    <row r="34" spans="1:7" x14ac:dyDescent="0.25">
      <c r="A34" s="51" t="s">
        <v>131</v>
      </c>
      <c r="B34" s="51">
        <v>31</v>
      </c>
      <c r="C34" s="68">
        <v>310</v>
      </c>
      <c r="D34" s="51" t="s">
        <v>127</v>
      </c>
      <c r="E34" s="50" t="s">
        <v>133</v>
      </c>
      <c r="F34" s="53" t="s">
        <v>177</v>
      </c>
      <c r="G34" s="57">
        <v>462082</v>
      </c>
    </row>
    <row r="35" spans="1:7" x14ac:dyDescent="0.25">
      <c r="A35" s="51" t="s">
        <v>131</v>
      </c>
      <c r="B35" s="51">
        <v>32</v>
      </c>
      <c r="C35" s="68">
        <v>311</v>
      </c>
      <c r="D35" s="51" t="s">
        <v>127</v>
      </c>
      <c r="E35" s="50" t="s">
        <v>133</v>
      </c>
      <c r="F35" s="53" t="s">
        <v>178</v>
      </c>
      <c r="G35" s="57">
        <v>462083</v>
      </c>
    </row>
    <row r="36" spans="1:7" x14ac:dyDescent="0.25">
      <c r="A36" s="51" t="s">
        <v>131</v>
      </c>
      <c r="B36" s="51">
        <v>33</v>
      </c>
      <c r="C36" s="68">
        <v>312</v>
      </c>
      <c r="D36" s="51" t="s">
        <v>127</v>
      </c>
      <c r="E36" s="50" t="s">
        <v>133</v>
      </c>
      <c r="F36" s="53" t="s">
        <v>179</v>
      </c>
      <c r="G36" s="57">
        <v>462084</v>
      </c>
    </row>
    <row r="37" spans="1:7" x14ac:dyDescent="0.25">
      <c r="A37" s="51" t="s">
        <v>131</v>
      </c>
      <c r="B37" s="51">
        <v>34</v>
      </c>
      <c r="C37" s="68">
        <v>313</v>
      </c>
      <c r="D37" s="51" t="s">
        <v>127</v>
      </c>
      <c r="E37" s="50" t="s">
        <v>133</v>
      </c>
      <c r="F37" s="53" t="s">
        <v>180</v>
      </c>
      <c r="G37" s="57">
        <v>462085</v>
      </c>
    </row>
    <row r="38" spans="1:7" x14ac:dyDescent="0.25">
      <c r="A38" s="51" t="s">
        <v>131</v>
      </c>
      <c r="B38" s="51">
        <v>35</v>
      </c>
      <c r="C38" s="68">
        <v>314</v>
      </c>
      <c r="D38" s="51" t="s">
        <v>127</v>
      </c>
      <c r="E38" s="50" t="s">
        <v>133</v>
      </c>
      <c r="F38" s="53" t="s">
        <v>181</v>
      </c>
      <c r="G38" s="57">
        <v>462086</v>
      </c>
    </row>
    <row r="39" spans="1:7" x14ac:dyDescent="0.25">
      <c r="A39" s="51" t="s">
        <v>131</v>
      </c>
      <c r="B39" s="51">
        <v>36</v>
      </c>
      <c r="C39" s="68">
        <v>315</v>
      </c>
      <c r="D39" s="51" t="s">
        <v>127</v>
      </c>
      <c r="E39" s="50" t="s">
        <v>133</v>
      </c>
      <c r="F39" s="53" t="s">
        <v>182</v>
      </c>
      <c r="G39" s="57">
        <v>462087</v>
      </c>
    </row>
    <row r="40" spans="1:7" x14ac:dyDescent="0.25">
      <c r="A40" s="51" t="s">
        <v>131</v>
      </c>
      <c r="B40" s="51">
        <v>37</v>
      </c>
      <c r="C40" s="68">
        <v>316</v>
      </c>
      <c r="D40" s="51" t="s">
        <v>127</v>
      </c>
      <c r="E40" s="50" t="s">
        <v>133</v>
      </c>
      <c r="F40" s="53" t="s">
        <v>184</v>
      </c>
      <c r="G40" s="57">
        <v>462088</v>
      </c>
    </row>
    <row r="41" spans="1:7" x14ac:dyDescent="0.25">
      <c r="A41" s="51" t="s">
        <v>131</v>
      </c>
      <c r="B41" s="51">
        <v>38</v>
      </c>
      <c r="C41" s="68">
        <v>317</v>
      </c>
      <c r="D41" s="51" t="s">
        <v>127</v>
      </c>
      <c r="E41" s="50" t="s">
        <v>133</v>
      </c>
      <c r="F41" s="53" t="s">
        <v>183</v>
      </c>
      <c r="G41" s="57">
        <v>462089</v>
      </c>
    </row>
    <row r="42" spans="1:7" x14ac:dyDescent="0.25">
      <c r="A42" s="51" t="s">
        <v>131</v>
      </c>
      <c r="B42" s="51">
        <v>39</v>
      </c>
      <c r="C42" s="68">
        <v>318</v>
      </c>
      <c r="D42" s="51" t="s">
        <v>127</v>
      </c>
      <c r="E42" s="50" t="s">
        <v>133</v>
      </c>
      <c r="F42" s="53" t="s">
        <v>185</v>
      </c>
      <c r="G42" s="57">
        <v>462090</v>
      </c>
    </row>
    <row r="43" spans="1:7" x14ac:dyDescent="0.25">
      <c r="A43" s="51" t="s">
        <v>131</v>
      </c>
      <c r="B43" s="51">
        <v>40</v>
      </c>
      <c r="C43" s="68">
        <v>319</v>
      </c>
      <c r="D43" s="51" t="s">
        <v>127</v>
      </c>
      <c r="E43" s="50" t="s">
        <v>133</v>
      </c>
      <c r="F43" s="53" t="s">
        <v>186</v>
      </c>
      <c r="G43" s="57">
        <v>462091</v>
      </c>
    </row>
    <row r="44" spans="1:7" x14ac:dyDescent="0.25">
      <c r="A44" s="51" t="s">
        <v>131</v>
      </c>
      <c r="B44" s="51">
        <v>41</v>
      </c>
      <c r="C44" s="68">
        <v>320</v>
      </c>
      <c r="D44" s="51" t="s">
        <v>127</v>
      </c>
      <c r="E44" s="50" t="s">
        <v>133</v>
      </c>
      <c r="F44" s="53" t="s">
        <v>187</v>
      </c>
      <c r="G44" s="57">
        <v>462092</v>
      </c>
    </row>
    <row r="45" spans="1:7" x14ac:dyDescent="0.25">
      <c r="A45" s="51" t="s">
        <v>131</v>
      </c>
      <c r="B45" s="51">
        <v>42</v>
      </c>
      <c r="C45" s="68">
        <v>321</v>
      </c>
      <c r="D45" s="51" t="s">
        <v>127</v>
      </c>
      <c r="E45" s="50" t="s">
        <v>133</v>
      </c>
      <c r="F45" s="53" t="s">
        <v>188</v>
      </c>
      <c r="G45" s="57">
        <v>462093</v>
      </c>
    </row>
    <row r="46" spans="1:7" x14ac:dyDescent="0.25">
      <c r="A46" s="51" t="s">
        <v>131</v>
      </c>
      <c r="B46" s="51">
        <v>43</v>
      </c>
      <c r="C46" s="68" t="s">
        <v>506</v>
      </c>
      <c r="D46" s="50" t="s">
        <v>141</v>
      </c>
      <c r="E46" s="50" t="s">
        <v>56</v>
      </c>
      <c r="F46" s="53" t="s">
        <v>189</v>
      </c>
      <c r="G46" s="57">
        <v>462094</v>
      </c>
    </row>
    <row r="47" spans="1:7" x14ac:dyDescent="0.25">
      <c r="A47" s="51" t="s">
        <v>131</v>
      </c>
      <c r="B47" s="51">
        <v>44</v>
      </c>
      <c r="C47" s="68" t="s">
        <v>505</v>
      </c>
      <c r="D47" s="50" t="s">
        <v>141</v>
      </c>
      <c r="E47" s="50" t="s">
        <v>56</v>
      </c>
      <c r="F47" s="53" t="s">
        <v>190</v>
      </c>
      <c r="G47" s="57">
        <v>462095</v>
      </c>
    </row>
    <row r="48" spans="1:7" x14ac:dyDescent="0.25">
      <c r="A48" s="51" t="s">
        <v>131</v>
      </c>
      <c r="B48" s="51">
        <v>45</v>
      </c>
      <c r="C48" s="68" t="s">
        <v>504</v>
      </c>
      <c r="D48" s="50" t="s">
        <v>141</v>
      </c>
      <c r="E48" s="50" t="s">
        <v>56</v>
      </c>
      <c r="F48" s="53" t="s">
        <v>191</v>
      </c>
      <c r="G48" s="57">
        <v>462096</v>
      </c>
    </row>
    <row r="49" spans="1:7" x14ac:dyDescent="0.25">
      <c r="A49" s="51" t="s">
        <v>131</v>
      </c>
      <c r="B49" s="51">
        <v>46</v>
      </c>
      <c r="C49" s="68" t="s">
        <v>503</v>
      </c>
      <c r="D49" s="50" t="s">
        <v>141</v>
      </c>
      <c r="E49" s="50" t="s">
        <v>56</v>
      </c>
      <c r="F49" s="53" t="s">
        <v>192</v>
      </c>
      <c r="G49" s="57">
        <v>462097</v>
      </c>
    </row>
    <row r="50" spans="1:7" x14ac:dyDescent="0.25">
      <c r="A50" s="51" t="s">
        <v>131</v>
      </c>
      <c r="B50" s="51">
        <v>47</v>
      </c>
      <c r="C50" s="68" t="s">
        <v>502</v>
      </c>
      <c r="D50" s="50" t="s">
        <v>141</v>
      </c>
      <c r="E50" s="50" t="s">
        <v>56</v>
      </c>
      <c r="F50" s="53" t="s">
        <v>193</v>
      </c>
      <c r="G50" s="57">
        <v>462098</v>
      </c>
    </row>
    <row r="51" spans="1:7" x14ac:dyDescent="0.25">
      <c r="A51" s="51" t="s">
        <v>131</v>
      </c>
      <c r="B51" s="51">
        <v>48</v>
      </c>
      <c r="C51" s="68" t="s">
        <v>501</v>
      </c>
      <c r="D51" s="50" t="s">
        <v>141</v>
      </c>
      <c r="E51" s="50" t="s">
        <v>56</v>
      </c>
      <c r="F51" s="53" t="s">
        <v>194</v>
      </c>
      <c r="G51" s="57">
        <v>462099</v>
      </c>
    </row>
    <row r="52" spans="1:7" x14ac:dyDescent="0.25">
      <c r="A52" s="51" t="s">
        <v>131</v>
      </c>
      <c r="B52" s="51">
        <v>49</v>
      </c>
      <c r="C52" s="68" t="s">
        <v>500</v>
      </c>
      <c r="D52" s="50" t="s">
        <v>141</v>
      </c>
      <c r="E52" s="50" t="s">
        <v>56</v>
      </c>
      <c r="F52" s="53" t="s">
        <v>195</v>
      </c>
      <c r="G52" s="57">
        <v>462100</v>
      </c>
    </row>
    <row r="53" spans="1:7" x14ac:dyDescent="0.25">
      <c r="A53" s="51" t="s">
        <v>131</v>
      </c>
      <c r="B53" s="51">
        <v>50</v>
      </c>
      <c r="C53" s="68" t="s">
        <v>499</v>
      </c>
      <c r="D53" s="50" t="s">
        <v>141</v>
      </c>
      <c r="E53" s="50" t="s">
        <v>56</v>
      </c>
      <c r="F53" s="53" t="s">
        <v>196</v>
      </c>
      <c r="G53" s="57">
        <v>462101</v>
      </c>
    </row>
    <row r="54" spans="1:7" x14ac:dyDescent="0.25">
      <c r="A54" s="51" t="s">
        <v>131</v>
      </c>
      <c r="B54" s="51">
        <v>51</v>
      </c>
      <c r="C54" s="68" t="s">
        <v>547</v>
      </c>
      <c r="D54" s="50" t="s">
        <v>141</v>
      </c>
      <c r="E54" s="50" t="s">
        <v>56</v>
      </c>
      <c r="F54" s="53" t="s">
        <v>197</v>
      </c>
      <c r="G54" s="57">
        <v>462102</v>
      </c>
    </row>
    <row r="55" spans="1:7" x14ac:dyDescent="0.25">
      <c r="A55" s="51" t="s">
        <v>131</v>
      </c>
      <c r="B55" s="51">
        <v>52</v>
      </c>
      <c r="C55" s="68" t="s">
        <v>548</v>
      </c>
      <c r="D55" s="50" t="s">
        <v>141</v>
      </c>
      <c r="E55" s="50" t="s">
        <v>56</v>
      </c>
      <c r="F55" s="53" t="s">
        <v>198</v>
      </c>
      <c r="G55" s="57">
        <v>462103</v>
      </c>
    </row>
    <row r="56" spans="1:7" x14ac:dyDescent="0.25">
      <c r="A56" s="51" t="s">
        <v>131</v>
      </c>
      <c r="B56" s="51">
        <v>53</v>
      </c>
      <c r="C56" s="68" t="s">
        <v>549</v>
      </c>
      <c r="D56" s="50" t="s">
        <v>141</v>
      </c>
      <c r="E56" s="50" t="s">
        <v>56</v>
      </c>
      <c r="F56" s="53" t="s">
        <v>199</v>
      </c>
      <c r="G56" s="57">
        <v>462104</v>
      </c>
    </row>
    <row r="57" spans="1:7" x14ac:dyDescent="0.25">
      <c r="A57" s="51" t="s">
        <v>131</v>
      </c>
      <c r="B57" s="51">
        <v>54</v>
      </c>
      <c r="C57" s="68" t="s">
        <v>550</v>
      </c>
      <c r="D57" s="50" t="s">
        <v>141</v>
      </c>
      <c r="E57" s="50" t="s">
        <v>56</v>
      </c>
      <c r="F57" s="53" t="s">
        <v>200</v>
      </c>
      <c r="G57" s="57">
        <v>462105</v>
      </c>
    </row>
    <row r="58" spans="1:7" x14ac:dyDescent="0.25">
      <c r="A58" s="51" t="s">
        <v>131</v>
      </c>
      <c r="B58" s="51">
        <v>55</v>
      </c>
      <c r="C58" s="68" t="s">
        <v>551</v>
      </c>
      <c r="D58" s="50" t="s">
        <v>141</v>
      </c>
      <c r="E58" s="50" t="s">
        <v>56</v>
      </c>
      <c r="F58" s="53" t="s">
        <v>201</v>
      </c>
      <c r="G58" s="57">
        <v>462106</v>
      </c>
    </row>
    <row r="59" spans="1:7" x14ac:dyDescent="0.25">
      <c r="A59" s="51" t="s">
        <v>131</v>
      </c>
      <c r="B59" s="51">
        <v>56</v>
      </c>
      <c r="C59" s="68" t="s">
        <v>552</v>
      </c>
      <c r="D59" s="50" t="s">
        <v>141</v>
      </c>
      <c r="E59" s="50" t="s">
        <v>56</v>
      </c>
      <c r="F59" s="53" t="s">
        <v>202</v>
      </c>
      <c r="G59" s="57">
        <v>462107</v>
      </c>
    </row>
    <row r="60" spans="1:7" x14ac:dyDescent="0.25">
      <c r="A60" s="51" t="s">
        <v>131</v>
      </c>
      <c r="B60" s="51">
        <v>57</v>
      </c>
      <c r="C60" s="68" t="s">
        <v>553</v>
      </c>
      <c r="D60" s="50" t="s">
        <v>141</v>
      </c>
      <c r="E60" s="50" t="s">
        <v>56</v>
      </c>
      <c r="F60" s="53" t="s">
        <v>203</v>
      </c>
      <c r="G60" s="57">
        <v>462108</v>
      </c>
    </row>
    <row r="61" spans="1:7" x14ac:dyDescent="0.25">
      <c r="A61" s="51" t="s">
        <v>131</v>
      </c>
      <c r="B61" s="51">
        <v>58</v>
      </c>
      <c r="C61" s="68" t="s">
        <v>554</v>
      </c>
      <c r="D61" s="50" t="s">
        <v>141</v>
      </c>
      <c r="E61" s="50" t="s">
        <v>56</v>
      </c>
      <c r="F61" s="53" t="s">
        <v>205</v>
      </c>
      <c r="G61" s="57">
        <v>462109</v>
      </c>
    </row>
    <row r="62" spans="1:7" x14ac:dyDescent="0.25">
      <c r="A62" s="51" t="s">
        <v>131</v>
      </c>
      <c r="B62" s="51">
        <v>59</v>
      </c>
      <c r="C62" s="68" t="s">
        <v>555</v>
      </c>
      <c r="D62" s="50" t="s">
        <v>141</v>
      </c>
      <c r="E62" s="50" t="s">
        <v>56</v>
      </c>
      <c r="F62" s="53" t="s">
        <v>204</v>
      </c>
      <c r="G62" s="57">
        <v>462110</v>
      </c>
    </row>
    <row r="63" spans="1:7" x14ac:dyDescent="0.25">
      <c r="A63" s="51" t="s">
        <v>131</v>
      </c>
      <c r="B63" s="51">
        <v>60</v>
      </c>
      <c r="C63" s="68" t="s">
        <v>556</v>
      </c>
      <c r="D63" s="50" t="s">
        <v>141</v>
      </c>
      <c r="E63" s="50" t="s">
        <v>56</v>
      </c>
      <c r="F63" s="53" t="s">
        <v>206</v>
      </c>
      <c r="G63" s="57">
        <v>462111</v>
      </c>
    </row>
    <row r="64" spans="1:7" x14ac:dyDescent="0.25">
      <c r="A64" s="51" t="s">
        <v>131</v>
      </c>
      <c r="B64" s="51">
        <v>61</v>
      </c>
      <c r="C64" s="68" t="s">
        <v>557</v>
      </c>
      <c r="D64" s="50" t="s">
        <v>141</v>
      </c>
      <c r="E64" s="50" t="s">
        <v>56</v>
      </c>
      <c r="F64" s="53" t="s">
        <v>207</v>
      </c>
      <c r="G64" s="57">
        <v>462112</v>
      </c>
    </row>
    <row r="65" spans="1:7" x14ac:dyDescent="0.25">
      <c r="A65" s="51" t="s">
        <v>131</v>
      </c>
      <c r="B65" s="51">
        <v>62</v>
      </c>
      <c r="C65" s="68" t="s">
        <v>558</v>
      </c>
      <c r="D65" s="50" t="s">
        <v>141</v>
      </c>
      <c r="E65" s="50" t="s">
        <v>56</v>
      </c>
      <c r="F65" s="53" t="s">
        <v>208</v>
      </c>
      <c r="G65" s="57">
        <v>462113</v>
      </c>
    </row>
    <row r="66" spans="1:7" x14ac:dyDescent="0.25">
      <c r="A66" s="51" t="s">
        <v>131</v>
      </c>
      <c r="B66" s="51">
        <v>63</v>
      </c>
      <c r="C66" s="68" t="s">
        <v>559</v>
      </c>
      <c r="D66" s="50" t="s">
        <v>141</v>
      </c>
      <c r="E66" s="50" t="s">
        <v>56</v>
      </c>
      <c r="F66" s="53" t="s">
        <v>209</v>
      </c>
      <c r="G66" s="57">
        <v>462114</v>
      </c>
    </row>
    <row r="67" spans="1:7" x14ac:dyDescent="0.25">
      <c r="A67" s="51" t="s">
        <v>131</v>
      </c>
      <c r="B67" s="51">
        <v>64</v>
      </c>
      <c r="C67" s="68" t="s">
        <v>560</v>
      </c>
      <c r="D67" s="50" t="s">
        <v>141</v>
      </c>
      <c r="E67" s="50" t="s">
        <v>56</v>
      </c>
      <c r="F67" s="53" t="s">
        <v>210</v>
      </c>
      <c r="G67" s="57">
        <v>462115</v>
      </c>
    </row>
    <row r="68" spans="1:7" x14ac:dyDescent="0.25">
      <c r="A68" s="51" t="s">
        <v>131</v>
      </c>
      <c r="B68" s="51">
        <v>65</v>
      </c>
      <c r="C68" s="68" t="s">
        <v>561</v>
      </c>
      <c r="D68" s="50" t="s">
        <v>141</v>
      </c>
      <c r="E68" s="50" t="s">
        <v>56</v>
      </c>
      <c r="F68" s="53" t="s">
        <v>211</v>
      </c>
      <c r="G68" s="57">
        <v>462116</v>
      </c>
    </row>
    <row r="69" spans="1:7" x14ac:dyDescent="0.25">
      <c r="A69" s="51" t="s">
        <v>131</v>
      </c>
      <c r="B69" s="51">
        <v>66</v>
      </c>
      <c r="C69" s="68" t="s">
        <v>562</v>
      </c>
      <c r="D69" s="50" t="s">
        <v>141</v>
      </c>
      <c r="E69" s="50" t="s">
        <v>56</v>
      </c>
      <c r="F69" s="53" t="s">
        <v>212</v>
      </c>
      <c r="G69" s="57">
        <v>462117</v>
      </c>
    </row>
    <row r="70" spans="1:7" x14ac:dyDescent="0.25">
      <c r="A70" s="51" t="s">
        <v>131</v>
      </c>
      <c r="B70" s="51">
        <v>67</v>
      </c>
      <c r="C70" s="68" t="s">
        <v>563</v>
      </c>
      <c r="D70" s="50" t="s">
        <v>141</v>
      </c>
      <c r="E70" s="50" t="s">
        <v>56</v>
      </c>
      <c r="F70" s="53" t="s">
        <v>213</v>
      </c>
      <c r="G70" s="57">
        <v>462118</v>
      </c>
    </row>
    <row r="71" spans="1:7" x14ac:dyDescent="0.25">
      <c r="A71" s="51" t="s">
        <v>131</v>
      </c>
      <c r="B71" s="51">
        <v>68</v>
      </c>
      <c r="C71" s="68" t="s">
        <v>564</v>
      </c>
      <c r="D71" s="50" t="s">
        <v>141</v>
      </c>
      <c r="E71" s="50" t="s">
        <v>56</v>
      </c>
      <c r="F71" s="53" t="s">
        <v>214</v>
      </c>
      <c r="G71" s="57">
        <v>462119</v>
      </c>
    </row>
    <row r="72" spans="1:7" x14ac:dyDescent="0.25">
      <c r="A72" s="51" t="s">
        <v>131</v>
      </c>
      <c r="B72" s="51">
        <v>69</v>
      </c>
      <c r="C72" s="68" t="s">
        <v>565</v>
      </c>
      <c r="D72" s="50" t="s">
        <v>141</v>
      </c>
      <c r="E72" s="50" t="s">
        <v>56</v>
      </c>
      <c r="F72" s="53" t="s">
        <v>215</v>
      </c>
      <c r="G72" s="57">
        <v>462120</v>
      </c>
    </row>
    <row r="73" spans="1:7" x14ac:dyDescent="0.25">
      <c r="A73" s="51" t="s">
        <v>131</v>
      </c>
      <c r="B73" s="51">
        <v>70</v>
      </c>
      <c r="C73" s="68" t="s">
        <v>566</v>
      </c>
      <c r="D73" s="50" t="s">
        <v>141</v>
      </c>
      <c r="E73" s="50" t="s">
        <v>56</v>
      </c>
      <c r="F73" s="53" t="s">
        <v>216</v>
      </c>
      <c r="G73" s="57">
        <v>462121</v>
      </c>
    </row>
    <row r="74" spans="1:7" x14ac:dyDescent="0.25">
      <c r="A74" s="51" t="s">
        <v>131</v>
      </c>
      <c r="B74" s="51">
        <v>71</v>
      </c>
      <c r="C74" s="68" t="s">
        <v>567</v>
      </c>
      <c r="D74" s="50" t="s">
        <v>141</v>
      </c>
      <c r="E74" s="50" t="s">
        <v>56</v>
      </c>
      <c r="F74" s="53" t="s">
        <v>217</v>
      </c>
      <c r="G74" s="57">
        <v>462122</v>
      </c>
    </row>
    <row r="75" spans="1:7" x14ac:dyDescent="0.25">
      <c r="A75" s="51" t="s">
        <v>131</v>
      </c>
      <c r="B75" s="51">
        <v>72</v>
      </c>
      <c r="C75" s="68" t="s">
        <v>568</v>
      </c>
      <c r="D75" s="50" t="s">
        <v>141</v>
      </c>
      <c r="E75" s="50" t="s">
        <v>56</v>
      </c>
      <c r="F75" s="53" t="s">
        <v>219</v>
      </c>
      <c r="G75" s="57">
        <v>462123</v>
      </c>
    </row>
    <row r="76" spans="1:7" x14ac:dyDescent="0.25">
      <c r="A76" s="51" t="s">
        <v>131</v>
      </c>
      <c r="B76" s="51">
        <v>73</v>
      </c>
      <c r="C76" s="68" t="s">
        <v>569</v>
      </c>
      <c r="D76" s="50" t="s">
        <v>141</v>
      </c>
      <c r="E76" s="50" t="s">
        <v>56</v>
      </c>
      <c r="F76" s="53" t="s">
        <v>218</v>
      </c>
      <c r="G76" s="57">
        <v>462124</v>
      </c>
    </row>
    <row r="77" spans="1:7" x14ac:dyDescent="0.25">
      <c r="A77" s="51" t="s">
        <v>131</v>
      </c>
      <c r="B77" s="51">
        <v>74</v>
      </c>
      <c r="C77" s="68" t="s">
        <v>509</v>
      </c>
      <c r="D77" s="50" t="s">
        <v>141</v>
      </c>
      <c r="E77" s="50" t="s">
        <v>56</v>
      </c>
      <c r="F77" s="53" t="s">
        <v>220</v>
      </c>
      <c r="G77" s="57">
        <v>462125</v>
      </c>
    </row>
    <row r="78" spans="1:7" x14ac:dyDescent="0.25">
      <c r="A78" s="51" t="s">
        <v>131</v>
      </c>
      <c r="B78" s="51">
        <v>75</v>
      </c>
      <c r="C78" s="68" t="s">
        <v>508</v>
      </c>
      <c r="D78" s="50" t="s">
        <v>141</v>
      </c>
      <c r="E78" s="50" t="s">
        <v>56</v>
      </c>
      <c r="F78" s="53" t="s">
        <v>221</v>
      </c>
      <c r="G78" s="57">
        <v>462126</v>
      </c>
    </row>
    <row r="79" spans="1:7" x14ac:dyDescent="0.25">
      <c r="A79" s="51" t="s">
        <v>131</v>
      </c>
      <c r="B79" s="51">
        <v>76</v>
      </c>
      <c r="C79" s="68" t="s">
        <v>507</v>
      </c>
      <c r="D79" s="50" t="s">
        <v>141</v>
      </c>
      <c r="E79" s="50" t="s">
        <v>56</v>
      </c>
      <c r="F79" s="53" t="s">
        <v>222</v>
      </c>
      <c r="G79" s="57">
        <v>462127</v>
      </c>
    </row>
    <row r="80" spans="1:7" x14ac:dyDescent="0.25">
      <c r="A80" s="51" t="s">
        <v>131</v>
      </c>
      <c r="B80" s="51">
        <v>77</v>
      </c>
      <c r="C80" s="68" t="s">
        <v>570</v>
      </c>
      <c r="D80" s="50" t="s">
        <v>141</v>
      </c>
      <c r="E80" s="50" t="s">
        <v>56</v>
      </c>
      <c r="F80" s="53" t="s">
        <v>223</v>
      </c>
      <c r="G80" s="57">
        <v>462128</v>
      </c>
    </row>
    <row r="81" spans="1:7" x14ac:dyDescent="0.25">
      <c r="A81" s="51" t="s">
        <v>131</v>
      </c>
      <c r="B81" s="51">
        <v>78</v>
      </c>
      <c r="C81" s="68" t="s">
        <v>571</v>
      </c>
      <c r="D81" s="50" t="s">
        <v>141</v>
      </c>
      <c r="E81" s="50" t="s">
        <v>56</v>
      </c>
      <c r="F81" s="53" t="s">
        <v>224</v>
      </c>
      <c r="G81" s="57">
        <v>462129</v>
      </c>
    </row>
    <row r="82" spans="1:7" x14ac:dyDescent="0.25">
      <c r="A82" s="51" t="s">
        <v>131</v>
      </c>
      <c r="B82" s="51">
        <v>79</v>
      </c>
      <c r="C82" s="68" t="s">
        <v>572</v>
      </c>
      <c r="D82" s="50" t="s">
        <v>141</v>
      </c>
      <c r="E82" s="50" t="s">
        <v>56</v>
      </c>
      <c r="F82" s="53" t="s">
        <v>225</v>
      </c>
      <c r="G82" s="57">
        <v>462130</v>
      </c>
    </row>
    <row r="83" spans="1:7" x14ac:dyDescent="0.25">
      <c r="A83" s="51" t="s">
        <v>131</v>
      </c>
      <c r="B83" s="51">
        <v>80</v>
      </c>
      <c r="C83" s="68" t="s">
        <v>573</v>
      </c>
      <c r="D83" s="50" t="s">
        <v>141</v>
      </c>
      <c r="E83" s="50" t="s">
        <v>56</v>
      </c>
      <c r="F83" s="53" t="s">
        <v>226</v>
      </c>
      <c r="G83" s="57">
        <v>462131</v>
      </c>
    </row>
    <row r="84" spans="1:7" x14ac:dyDescent="0.25">
      <c r="A84" s="51" t="s">
        <v>131</v>
      </c>
      <c r="B84" s="51">
        <v>81</v>
      </c>
      <c r="C84" s="68" t="s">
        <v>574</v>
      </c>
      <c r="D84" s="50" t="s">
        <v>141</v>
      </c>
      <c r="E84" s="50" t="s">
        <v>56</v>
      </c>
      <c r="F84" s="53" t="s">
        <v>227</v>
      </c>
      <c r="G84" s="57">
        <v>462132</v>
      </c>
    </row>
    <row r="85" spans="1:7" x14ac:dyDescent="0.25">
      <c r="A85" s="51" t="s">
        <v>131</v>
      </c>
      <c r="B85" s="51">
        <v>82</v>
      </c>
      <c r="C85" s="68" t="s">
        <v>575</v>
      </c>
      <c r="D85" s="50" t="s">
        <v>141</v>
      </c>
      <c r="E85" s="50" t="s">
        <v>56</v>
      </c>
      <c r="F85" s="53" t="s">
        <v>228</v>
      </c>
      <c r="G85" s="57">
        <v>462133</v>
      </c>
    </row>
    <row r="86" spans="1:7" x14ac:dyDescent="0.25">
      <c r="A86" s="51" t="s">
        <v>131</v>
      </c>
      <c r="B86" s="51">
        <v>83</v>
      </c>
      <c r="C86" s="68" t="s">
        <v>576</v>
      </c>
      <c r="D86" s="50" t="s">
        <v>141</v>
      </c>
      <c r="E86" s="50" t="s">
        <v>56</v>
      </c>
      <c r="F86" s="53" t="s">
        <v>229</v>
      </c>
      <c r="G86" s="57">
        <v>462134</v>
      </c>
    </row>
    <row r="87" spans="1:7" x14ac:dyDescent="0.25">
      <c r="A87" s="51" t="s">
        <v>131</v>
      </c>
      <c r="B87" s="51">
        <v>84</v>
      </c>
      <c r="C87" s="68">
        <v>101</v>
      </c>
      <c r="D87" s="51" t="s">
        <v>61</v>
      </c>
      <c r="E87" s="50" t="s">
        <v>56</v>
      </c>
      <c r="F87" s="53" t="s">
        <v>230</v>
      </c>
      <c r="G87" s="57">
        <v>462135</v>
      </c>
    </row>
    <row r="88" spans="1:7" x14ac:dyDescent="0.25">
      <c r="A88" s="51" t="s">
        <v>131</v>
      </c>
      <c r="B88" s="51">
        <v>85</v>
      </c>
      <c r="C88" s="68">
        <v>102</v>
      </c>
      <c r="D88" s="51" t="s">
        <v>61</v>
      </c>
      <c r="E88" s="50" t="s">
        <v>56</v>
      </c>
      <c r="F88" s="53" t="s">
        <v>231</v>
      </c>
      <c r="G88" s="57">
        <v>462136</v>
      </c>
    </row>
    <row r="89" spans="1:7" x14ac:dyDescent="0.25">
      <c r="A89" s="51" t="s">
        <v>131</v>
      </c>
      <c r="B89" s="51">
        <v>86</v>
      </c>
      <c r="C89" s="68">
        <v>103</v>
      </c>
      <c r="D89" s="51" t="s">
        <v>61</v>
      </c>
      <c r="E89" s="50" t="s">
        <v>56</v>
      </c>
      <c r="F89" s="53" t="s">
        <v>232</v>
      </c>
      <c r="G89" s="57">
        <v>462137</v>
      </c>
    </row>
    <row r="90" spans="1:7" x14ac:dyDescent="0.25">
      <c r="A90" s="51" t="s">
        <v>131</v>
      </c>
      <c r="B90" s="51">
        <v>87</v>
      </c>
      <c r="C90" s="68">
        <v>104</v>
      </c>
      <c r="D90" s="51" t="s">
        <v>61</v>
      </c>
      <c r="E90" s="50" t="s">
        <v>56</v>
      </c>
      <c r="F90" s="53" t="s">
        <v>233</v>
      </c>
      <c r="G90" s="57">
        <v>462138</v>
      </c>
    </row>
    <row r="91" spans="1:7" x14ac:dyDescent="0.25">
      <c r="A91" s="51" t="s">
        <v>131</v>
      </c>
      <c r="B91" s="51">
        <v>88</v>
      </c>
      <c r="C91" s="68">
        <v>105</v>
      </c>
      <c r="D91" s="51" t="s">
        <v>61</v>
      </c>
      <c r="E91" s="50" t="s">
        <v>56</v>
      </c>
      <c r="F91" s="53" t="s">
        <v>234</v>
      </c>
      <c r="G91" s="57">
        <v>462139</v>
      </c>
    </row>
    <row r="92" spans="1:7" x14ac:dyDescent="0.25">
      <c r="A92" s="51" t="s">
        <v>131</v>
      </c>
      <c r="B92" s="51">
        <v>89</v>
      </c>
      <c r="C92" s="68">
        <v>106</v>
      </c>
      <c r="D92" s="51" t="s">
        <v>61</v>
      </c>
      <c r="E92" s="50" t="s">
        <v>56</v>
      </c>
      <c r="F92" s="53" t="s">
        <v>235</v>
      </c>
      <c r="G92" s="57">
        <v>462140</v>
      </c>
    </row>
    <row r="93" spans="1:7" x14ac:dyDescent="0.25">
      <c r="A93" s="51" t="s">
        <v>131</v>
      </c>
      <c r="B93" s="51">
        <v>90</v>
      </c>
      <c r="C93" s="68">
        <v>107</v>
      </c>
      <c r="D93" s="51" t="s">
        <v>61</v>
      </c>
      <c r="E93" s="50" t="s">
        <v>56</v>
      </c>
      <c r="F93" s="53" t="s">
        <v>236</v>
      </c>
      <c r="G93" s="57">
        <v>462141</v>
      </c>
    </row>
    <row r="94" spans="1:7" x14ac:dyDescent="0.25">
      <c r="A94" s="51" t="s">
        <v>131</v>
      </c>
      <c r="B94" s="51">
        <v>91</v>
      </c>
      <c r="C94" s="68">
        <v>108</v>
      </c>
      <c r="D94" s="51" t="s">
        <v>61</v>
      </c>
      <c r="E94" s="50" t="s">
        <v>56</v>
      </c>
      <c r="F94" s="53" t="s">
        <v>237</v>
      </c>
      <c r="G94" s="57">
        <v>462142</v>
      </c>
    </row>
    <row r="95" spans="1:7" x14ac:dyDescent="0.25">
      <c r="A95" s="51" t="s">
        <v>131</v>
      </c>
      <c r="B95" s="51">
        <v>92</v>
      </c>
      <c r="C95" s="68">
        <v>109</v>
      </c>
      <c r="D95" s="51" t="s">
        <v>61</v>
      </c>
      <c r="E95" s="50" t="s">
        <v>56</v>
      </c>
      <c r="F95" s="53" t="s">
        <v>238</v>
      </c>
      <c r="G95" s="57">
        <v>462143</v>
      </c>
    </row>
    <row r="96" spans="1:7" x14ac:dyDescent="0.25">
      <c r="A96" s="51" t="s">
        <v>131</v>
      </c>
      <c r="B96" s="51">
        <v>93</v>
      </c>
      <c r="C96" s="68">
        <v>110</v>
      </c>
      <c r="D96" s="51" t="s">
        <v>61</v>
      </c>
      <c r="E96" s="50" t="s">
        <v>56</v>
      </c>
      <c r="F96" s="53" t="s">
        <v>262</v>
      </c>
      <c r="G96" s="57">
        <v>462144</v>
      </c>
    </row>
    <row r="97" spans="1:7" x14ac:dyDescent="0.25">
      <c r="A97" s="51" t="s">
        <v>131</v>
      </c>
      <c r="B97" s="51">
        <v>94</v>
      </c>
      <c r="C97" s="68">
        <v>111</v>
      </c>
      <c r="D97" s="51" t="s">
        <v>61</v>
      </c>
      <c r="E97" s="50" t="s">
        <v>56</v>
      </c>
      <c r="F97" s="53" t="s">
        <v>453</v>
      </c>
      <c r="G97" s="57">
        <v>462145</v>
      </c>
    </row>
    <row r="98" spans="1:7" x14ac:dyDescent="0.25">
      <c r="A98" s="51" t="s">
        <v>131</v>
      </c>
      <c r="B98" s="51">
        <v>95</v>
      </c>
      <c r="C98" s="68">
        <v>112</v>
      </c>
      <c r="D98" s="51" t="s">
        <v>61</v>
      </c>
      <c r="E98" s="50" t="s">
        <v>56</v>
      </c>
      <c r="F98" s="53" t="s">
        <v>239</v>
      </c>
      <c r="G98" s="57">
        <v>462146</v>
      </c>
    </row>
    <row r="99" spans="1:7" x14ac:dyDescent="0.25">
      <c r="A99" s="51" t="s">
        <v>131</v>
      </c>
      <c r="B99" s="51">
        <v>96</v>
      </c>
      <c r="C99" s="68">
        <v>113</v>
      </c>
      <c r="D99" s="51" t="s">
        <v>61</v>
      </c>
      <c r="E99" s="50" t="s">
        <v>56</v>
      </c>
      <c r="F99" s="53" t="s">
        <v>240</v>
      </c>
      <c r="G99" s="57">
        <v>462147</v>
      </c>
    </row>
    <row r="100" spans="1:7" x14ac:dyDescent="0.25">
      <c r="A100" s="51" t="s">
        <v>131</v>
      </c>
      <c r="B100" s="51">
        <v>97</v>
      </c>
      <c r="C100" s="68">
        <v>114</v>
      </c>
      <c r="D100" s="51" t="s">
        <v>61</v>
      </c>
      <c r="E100" s="50" t="s">
        <v>56</v>
      </c>
      <c r="F100" s="53" t="s">
        <v>241</v>
      </c>
      <c r="G100" s="57">
        <v>462148</v>
      </c>
    </row>
    <row r="101" spans="1:7" x14ac:dyDescent="0.25">
      <c r="A101" s="51" t="s">
        <v>131</v>
      </c>
      <c r="B101" s="51">
        <v>98</v>
      </c>
      <c r="C101" s="68">
        <v>115</v>
      </c>
      <c r="D101" s="51" t="s">
        <v>61</v>
      </c>
      <c r="E101" s="50" t="s">
        <v>56</v>
      </c>
      <c r="F101" s="53" t="s">
        <v>242</v>
      </c>
      <c r="G101" s="57">
        <v>462149</v>
      </c>
    </row>
    <row r="102" spans="1:7" x14ac:dyDescent="0.25">
      <c r="A102" s="51" t="s">
        <v>131</v>
      </c>
      <c r="B102" s="51">
        <v>99</v>
      </c>
      <c r="C102" s="68">
        <v>116</v>
      </c>
      <c r="D102" s="51" t="s">
        <v>61</v>
      </c>
      <c r="E102" s="50" t="s">
        <v>56</v>
      </c>
      <c r="F102" s="53" t="s">
        <v>243</v>
      </c>
      <c r="G102" s="57">
        <v>462150</v>
      </c>
    </row>
    <row r="103" spans="1:7" x14ac:dyDescent="0.25">
      <c r="A103" s="51" t="s">
        <v>131</v>
      </c>
      <c r="B103" s="51">
        <v>100</v>
      </c>
      <c r="C103" s="68">
        <v>117</v>
      </c>
      <c r="D103" s="51" t="s">
        <v>61</v>
      </c>
      <c r="E103" s="50" t="s">
        <v>56</v>
      </c>
      <c r="F103" s="53" t="s">
        <v>244</v>
      </c>
      <c r="G103" s="57">
        <v>462151</v>
      </c>
    </row>
    <row r="104" spans="1:7" x14ac:dyDescent="0.25">
      <c r="A104" s="51" t="s">
        <v>131</v>
      </c>
      <c r="B104" s="51">
        <v>101</v>
      </c>
      <c r="C104" s="68">
        <v>118</v>
      </c>
      <c r="D104" s="51" t="s">
        <v>61</v>
      </c>
      <c r="E104" s="50" t="s">
        <v>56</v>
      </c>
      <c r="F104" s="53" t="s">
        <v>245</v>
      </c>
      <c r="G104" s="57">
        <v>462152</v>
      </c>
    </row>
    <row r="105" spans="1:7" x14ac:dyDescent="0.25">
      <c r="A105" s="51" t="s">
        <v>131</v>
      </c>
      <c r="B105" s="51">
        <v>102</v>
      </c>
      <c r="C105" s="68">
        <v>119</v>
      </c>
      <c r="D105" s="51" t="s">
        <v>61</v>
      </c>
      <c r="E105" s="50" t="s">
        <v>56</v>
      </c>
      <c r="F105" s="53" t="s">
        <v>246</v>
      </c>
      <c r="G105" s="57">
        <v>462153</v>
      </c>
    </row>
    <row r="106" spans="1:7" x14ac:dyDescent="0.25">
      <c r="A106" s="51" t="s">
        <v>131</v>
      </c>
      <c r="B106" s="51">
        <v>103</v>
      </c>
      <c r="C106" s="68">
        <v>120</v>
      </c>
      <c r="D106" s="51" t="s">
        <v>61</v>
      </c>
      <c r="E106" s="50" t="s">
        <v>56</v>
      </c>
      <c r="F106" s="53" t="s">
        <v>247</v>
      </c>
      <c r="G106" s="57">
        <v>462154</v>
      </c>
    </row>
    <row r="107" spans="1:7" x14ac:dyDescent="0.25">
      <c r="A107" s="51" t="s">
        <v>131</v>
      </c>
      <c r="B107" s="51">
        <v>104</v>
      </c>
      <c r="C107" s="68">
        <v>121</v>
      </c>
      <c r="D107" s="51" t="s">
        <v>61</v>
      </c>
      <c r="E107" s="50" t="s">
        <v>56</v>
      </c>
      <c r="F107" s="53" t="s">
        <v>248</v>
      </c>
      <c r="G107" s="57">
        <v>462155</v>
      </c>
    </row>
    <row r="108" spans="1:7" x14ac:dyDescent="0.25">
      <c r="A108" s="51" t="s">
        <v>131</v>
      </c>
      <c r="B108" s="51">
        <v>105</v>
      </c>
      <c r="C108" s="68">
        <v>122</v>
      </c>
      <c r="D108" s="51" t="s">
        <v>61</v>
      </c>
      <c r="E108" s="50" t="s">
        <v>56</v>
      </c>
      <c r="F108" s="53" t="s">
        <v>249</v>
      </c>
      <c r="G108" s="57">
        <v>462156</v>
      </c>
    </row>
    <row r="109" spans="1:7" x14ac:dyDescent="0.25">
      <c r="A109" s="51" t="s">
        <v>131</v>
      </c>
      <c r="B109" s="51">
        <v>106</v>
      </c>
      <c r="C109" s="68">
        <v>123</v>
      </c>
      <c r="D109" s="51" t="s">
        <v>61</v>
      </c>
      <c r="E109" s="50" t="s">
        <v>56</v>
      </c>
      <c r="F109" s="53" t="s">
        <v>250</v>
      </c>
      <c r="G109" s="57">
        <v>462157</v>
      </c>
    </row>
    <row r="110" spans="1:7" x14ac:dyDescent="0.25">
      <c r="A110" s="51" t="s">
        <v>131</v>
      </c>
      <c r="B110" s="51">
        <v>107</v>
      </c>
      <c r="C110" s="68">
        <v>124</v>
      </c>
      <c r="D110" s="51" t="s">
        <v>61</v>
      </c>
      <c r="E110" s="50" t="s">
        <v>56</v>
      </c>
      <c r="F110" s="53" t="s">
        <v>251</v>
      </c>
      <c r="G110" s="57">
        <v>462158</v>
      </c>
    </row>
    <row r="111" spans="1:7" x14ac:dyDescent="0.25">
      <c r="A111" s="51" t="s">
        <v>131</v>
      </c>
      <c r="B111" s="51">
        <v>108</v>
      </c>
      <c r="C111" s="68">
        <v>125</v>
      </c>
      <c r="D111" s="51" t="s">
        <v>61</v>
      </c>
      <c r="E111" s="50" t="s">
        <v>56</v>
      </c>
      <c r="F111" s="53" t="s">
        <v>252</v>
      </c>
      <c r="G111" s="57">
        <v>462159</v>
      </c>
    </row>
    <row r="112" spans="1:7" x14ac:dyDescent="0.25">
      <c r="A112" s="51" t="s">
        <v>131</v>
      </c>
      <c r="B112" s="51">
        <v>109</v>
      </c>
      <c r="C112" s="68">
        <v>126</v>
      </c>
      <c r="D112" s="51" t="s">
        <v>61</v>
      </c>
      <c r="E112" s="50" t="s">
        <v>56</v>
      </c>
      <c r="F112" s="53" t="s">
        <v>253</v>
      </c>
      <c r="G112" s="57">
        <v>462160</v>
      </c>
    </row>
    <row r="113" spans="1:14" x14ac:dyDescent="0.25">
      <c r="A113" s="51" t="s">
        <v>131</v>
      </c>
      <c r="B113" s="51">
        <v>110</v>
      </c>
      <c r="C113" s="68">
        <v>127</v>
      </c>
      <c r="D113" s="51" t="s">
        <v>61</v>
      </c>
      <c r="E113" s="50" t="s">
        <v>56</v>
      </c>
      <c r="F113" s="53" t="s">
        <v>254</v>
      </c>
      <c r="G113" s="57">
        <v>462161</v>
      </c>
    </row>
    <row r="114" spans="1:14" x14ac:dyDescent="0.25">
      <c r="A114" s="51" t="s">
        <v>131</v>
      </c>
      <c r="B114" s="51">
        <v>111</v>
      </c>
      <c r="C114" s="68">
        <v>128</v>
      </c>
      <c r="D114" s="51" t="s">
        <v>61</v>
      </c>
      <c r="E114" s="50" t="s">
        <v>56</v>
      </c>
      <c r="F114" s="53" t="s">
        <v>255</v>
      </c>
      <c r="G114" s="57">
        <v>462162</v>
      </c>
    </row>
    <row r="115" spans="1:14" x14ac:dyDescent="0.25">
      <c r="A115" s="51" t="s">
        <v>131</v>
      </c>
      <c r="B115" s="51">
        <v>112</v>
      </c>
      <c r="C115" s="68">
        <v>129</v>
      </c>
      <c r="D115" s="51" t="s">
        <v>61</v>
      </c>
      <c r="E115" s="50" t="s">
        <v>56</v>
      </c>
      <c r="F115" s="53" t="s">
        <v>256</v>
      </c>
      <c r="G115" s="57">
        <v>462163</v>
      </c>
    </row>
    <row r="116" spans="1:14" x14ac:dyDescent="0.25">
      <c r="A116" s="51" t="s">
        <v>131</v>
      </c>
      <c r="B116" s="51">
        <v>113</v>
      </c>
      <c r="C116" s="68">
        <v>130</v>
      </c>
      <c r="D116" s="51" t="s">
        <v>61</v>
      </c>
      <c r="E116" s="50" t="s">
        <v>56</v>
      </c>
      <c r="F116" s="53" t="s">
        <v>257</v>
      </c>
      <c r="G116" s="57">
        <v>462164</v>
      </c>
    </row>
    <row r="117" spans="1:14" x14ac:dyDescent="0.25">
      <c r="A117" s="51" t="s">
        <v>131</v>
      </c>
      <c r="B117" s="51">
        <v>114</v>
      </c>
      <c r="C117" s="68">
        <v>131</v>
      </c>
      <c r="D117" s="51" t="s">
        <v>61</v>
      </c>
      <c r="E117" s="50" t="s">
        <v>56</v>
      </c>
      <c r="F117" s="53" t="s">
        <v>258</v>
      </c>
      <c r="G117" s="57">
        <v>462165</v>
      </c>
    </row>
    <row r="118" spans="1:14" x14ac:dyDescent="0.25">
      <c r="A118" s="51" t="s">
        <v>131</v>
      </c>
      <c r="B118" s="51">
        <v>115</v>
      </c>
      <c r="C118" s="68">
        <v>132</v>
      </c>
      <c r="D118" s="51" t="s">
        <v>61</v>
      </c>
      <c r="E118" s="50" t="s">
        <v>56</v>
      </c>
      <c r="F118" s="53" t="s">
        <v>259</v>
      </c>
      <c r="G118" s="57">
        <v>462166</v>
      </c>
    </row>
    <row r="119" spans="1:14" x14ac:dyDescent="0.25">
      <c r="A119" s="51" t="s">
        <v>131</v>
      </c>
      <c r="B119" s="51">
        <v>116</v>
      </c>
      <c r="C119" s="68">
        <v>133</v>
      </c>
      <c r="D119" s="51" t="s">
        <v>61</v>
      </c>
      <c r="E119" s="50" t="s">
        <v>56</v>
      </c>
      <c r="F119" s="53" t="s">
        <v>260</v>
      </c>
      <c r="G119" s="57">
        <v>462167</v>
      </c>
    </row>
    <row r="120" spans="1:14" x14ac:dyDescent="0.25">
      <c r="A120" s="51" t="s">
        <v>131</v>
      </c>
      <c r="B120" s="51">
        <v>117</v>
      </c>
      <c r="C120" s="68">
        <v>134</v>
      </c>
      <c r="D120" s="51" t="s">
        <v>61</v>
      </c>
      <c r="E120" s="50" t="s">
        <v>56</v>
      </c>
      <c r="F120" s="53" t="s">
        <v>261</v>
      </c>
      <c r="G120" s="57">
        <v>462168</v>
      </c>
    </row>
    <row r="121" spans="1:14" x14ac:dyDescent="0.25">
      <c r="A121" s="51" t="s">
        <v>131</v>
      </c>
      <c r="B121" s="51">
        <v>118</v>
      </c>
      <c r="C121" s="68">
        <v>135</v>
      </c>
      <c r="D121" s="51" t="s">
        <v>61</v>
      </c>
      <c r="E121" s="50" t="s">
        <v>56</v>
      </c>
      <c r="F121" s="53" t="s">
        <v>262</v>
      </c>
      <c r="G121" s="57">
        <v>462169</v>
      </c>
    </row>
    <row r="122" spans="1:14" x14ac:dyDescent="0.25">
      <c r="A122" s="51" t="s">
        <v>131</v>
      </c>
      <c r="B122" s="51">
        <v>119</v>
      </c>
      <c r="C122" s="68">
        <v>136</v>
      </c>
      <c r="D122" s="51" t="s">
        <v>61</v>
      </c>
      <c r="E122" s="50" t="s">
        <v>56</v>
      </c>
      <c r="F122" s="53" t="s">
        <v>263</v>
      </c>
      <c r="G122" s="57">
        <v>462170</v>
      </c>
    </row>
    <row r="123" spans="1:14" x14ac:dyDescent="0.25">
      <c r="A123" s="51" t="s">
        <v>131</v>
      </c>
      <c r="B123" s="51">
        <v>120</v>
      </c>
      <c r="C123" s="68">
        <v>137</v>
      </c>
      <c r="D123" s="51" t="s">
        <v>61</v>
      </c>
      <c r="E123" s="50" t="s">
        <v>56</v>
      </c>
      <c r="F123" s="53" t="s">
        <v>264</v>
      </c>
      <c r="G123" s="57">
        <v>462171</v>
      </c>
    </row>
    <row r="124" spans="1:14" ht="15.75" customHeight="1" x14ac:dyDescent="0.25">
      <c r="A124" s="91" t="s">
        <v>140</v>
      </c>
      <c r="B124" s="92"/>
      <c r="C124" s="92"/>
      <c r="D124" s="92"/>
      <c r="E124" s="92"/>
      <c r="F124" s="92"/>
      <c r="G124" s="93"/>
      <c r="M124" s="20"/>
      <c r="N124" s="20"/>
    </row>
    <row r="125" spans="1:14" ht="15.75" customHeight="1" x14ac:dyDescent="0.25">
      <c r="A125" s="54"/>
      <c r="B125" s="54"/>
      <c r="C125" s="54"/>
      <c r="D125" s="54"/>
      <c r="E125" s="54"/>
      <c r="F125" s="54"/>
      <c r="M125" s="20"/>
      <c r="N125" s="20"/>
    </row>
    <row r="126" spans="1:14" ht="15.75" customHeight="1" x14ac:dyDescent="0.25">
      <c r="A126" s="59"/>
      <c r="B126" s="59"/>
      <c r="C126" s="59"/>
      <c r="D126" s="59"/>
      <c r="E126" s="59"/>
      <c r="F126" s="59"/>
    </row>
    <row r="127" spans="1:14" ht="30" customHeight="1" x14ac:dyDescent="0.25">
      <c r="A127" s="85" t="s">
        <v>138</v>
      </c>
      <c r="B127" s="86"/>
      <c r="C127" s="86"/>
      <c r="D127" s="86"/>
      <c r="E127" s="86"/>
      <c r="F127" s="86"/>
      <c r="G127" s="87"/>
    </row>
    <row r="128" spans="1:14" ht="18.75" x14ac:dyDescent="0.25">
      <c r="A128" s="88" t="s">
        <v>495</v>
      </c>
      <c r="B128" s="89"/>
      <c r="C128" s="89"/>
      <c r="D128" s="89"/>
      <c r="E128" s="89"/>
      <c r="F128" s="89"/>
      <c r="G128" s="90"/>
    </row>
    <row r="129" spans="1:7" x14ac:dyDescent="0.25">
      <c r="A129" s="48" t="s">
        <v>52</v>
      </c>
      <c r="B129" s="48" t="s">
        <v>53</v>
      </c>
      <c r="C129" s="48"/>
      <c r="D129" s="49" t="s">
        <v>54</v>
      </c>
      <c r="E129" s="48" t="s">
        <v>55</v>
      </c>
      <c r="F129" s="48" t="s">
        <v>146</v>
      </c>
      <c r="G129" s="57" t="s">
        <v>577</v>
      </c>
    </row>
    <row r="130" spans="1:7" ht="15.75" customHeight="1" x14ac:dyDescent="0.25">
      <c r="A130" s="50" t="s">
        <v>132</v>
      </c>
      <c r="B130" s="50">
        <v>1</v>
      </c>
      <c r="C130" s="69">
        <v>201</v>
      </c>
      <c r="D130" s="50" t="s">
        <v>124</v>
      </c>
      <c r="E130" s="50" t="s">
        <v>133</v>
      </c>
      <c r="F130" s="53" t="s">
        <v>265</v>
      </c>
      <c r="G130" s="57">
        <v>462172</v>
      </c>
    </row>
    <row r="131" spans="1:7" x14ac:dyDescent="0.25">
      <c r="A131" s="50" t="s">
        <v>132</v>
      </c>
      <c r="B131" s="50">
        <v>2</v>
      </c>
      <c r="C131" s="69">
        <v>202</v>
      </c>
      <c r="D131" s="51" t="s">
        <v>124</v>
      </c>
      <c r="E131" s="50" t="s">
        <v>133</v>
      </c>
      <c r="F131" s="53" t="s">
        <v>266</v>
      </c>
      <c r="G131" s="57">
        <v>462173</v>
      </c>
    </row>
    <row r="132" spans="1:7" x14ac:dyDescent="0.25">
      <c r="A132" s="50" t="s">
        <v>132</v>
      </c>
      <c r="B132" s="50">
        <v>3</v>
      </c>
      <c r="C132" s="69">
        <v>203</v>
      </c>
      <c r="D132" s="51" t="s">
        <v>124</v>
      </c>
      <c r="E132" s="50" t="s">
        <v>133</v>
      </c>
      <c r="F132" s="53" t="s">
        <v>267</v>
      </c>
      <c r="G132" s="57">
        <v>462174</v>
      </c>
    </row>
    <row r="133" spans="1:7" x14ac:dyDescent="0.25">
      <c r="A133" s="50" t="s">
        <v>132</v>
      </c>
      <c r="B133" s="50">
        <v>4</v>
      </c>
      <c r="C133" s="69">
        <v>204</v>
      </c>
      <c r="D133" s="51" t="s">
        <v>124</v>
      </c>
      <c r="E133" s="50" t="s">
        <v>133</v>
      </c>
      <c r="F133" s="53" t="s">
        <v>268</v>
      </c>
      <c r="G133" s="57">
        <v>462175</v>
      </c>
    </row>
    <row r="134" spans="1:7" x14ac:dyDescent="0.25">
      <c r="A134" s="50" t="s">
        <v>132</v>
      </c>
      <c r="B134" s="50">
        <v>5</v>
      </c>
      <c r="C134" s="69">
        <v>205</v>
      </c>
      <c r="D134" s="51" t="s">
        <v>124</v>
      </c>
      <c r="E134" s="50" t="s">
        <v>133</v>
      </c>
      <c r="F134" s="53" t="s">
        <v>269</v>
      </c>
      <c r="G134" s="57">
        <v>462176</v>
      </c>
    </row>
    <row r="135" spans="1:7" x14ac:dyDescent="0.25">
      <c r="A135" s="50" t="s">
        <v>132</v>
      </c>
      <c r="B135" s="50">
        <v>6</v>
      </c>
      <c r="C135" s="69">
        <v>206</v>
      </c>
      <c r="D135" s="51" t="s">
        <v>124</v>
      </c>
      <c r="E135" s="50" t="s">
        <v>133</v>
      </c>
      <c r="F135" s="53" t="s">
        <v>270</v>
      </c>
      <c r="G135" s="57">
        <v>462177</v>
      </c>
    </row>
    <row r="136" spans="1:7" x14ac:dyDescent="0.25">
      <c r="A136" s="50" t="s">
        <v>132</v>
      </c>
      <c r="B136" s="50">
        <v>7</v>
      </c>
      <c r="C136" s="69">
        <v>207</v>
      </c>
      <c r="D136" s="51" t="s">
        <v>124</v>
      </c>
      <c r="E136" s="50" t="s">
        <v>133</v>
      </c>
      <c r="F136" s="53" t="s">
        <v>271</v>
      </c>
      <c r="G136" s="57">
        <v>462178</v>
      </c>
    </row>
    <row r="137" spans="1:7" x14ac:dyDescent="0.25">
      <c r="A137" s="50" t="s">
        <v>132</v>
      </c>
      <c r="B137" s="50">
        <v>8</v>
      </c>
      <c r="C137" s="69">
        <v>208</v>
      </c>
      <c r="D137" s="51" t="s">
        <v>124</v>
      </c>
      <c r="E137" s="50" t="s">
        <v>133</v>
      </c>
      <c r="F137" s="53" t="s">
        <v>272</v>
      </c>
      <c r="G137" s="57">
        <v>462179</v>
      </c>
    </row>
    <row r="138" spans="1:7" x14ac:dyDescent="0.25">
      <c r="A138" s="50" t="s">
        <v>132</v>
      </c>
      <c r="B138" s="50">
        <v>9</v>
      </c>
      <c r="C138" s="69">
        <v>209</v>
      </c>
      <c r="D138" s="51" t="s">
        <v>124</v>
      </c>
      <c r="E138" s="50" t="s">
        <v>133</v>
      </c>
      <c r="F138" s="53" t="s">
        <v>273</v>
      </c>
      <c r="G138" s="57">
        <v>462180</v>
      </c>
    </row>
    <row r="139" spans="1:7" x14ac:dyDescent="0.25">
      <c r="A139" s="50" t="s">
        <v>132</v>
      </c>
      <c r="B139" s="50">
        <v>10</v>
      </c>
      <c r="C139" s="69">
        <v>210</v>
      </c>
      <c r="D139" s="51" t="s">
        <v>124</v>
      </c>
      <c r="E139" s="50" t="s">
        <v>133</v>
      </c>
      <c r="F139" s="53" t="s">
        <v>274</v>
      </c>
      <c r="G139" s="57">
        <v>462181</v>
      </c>
    </row>
    <row r="140" spans="1:7" x14ac:dyDescent="0.25">
      <c r="A140" s="50" t="s">
        <v>132</v>
      </c>
      <c r="B140" s="50">
        <v>11</v>
      </c>
      <c r="C140" s="69">
        <v>211</v>
      </c>
      <c r="D140" s="51" t="s">
        <v>124</v>
      </c>
      <c r="E140" s="50" t="s">
        <v>133</v>
      </c>
      <c r="F140" s="53" t="s">
        <v>275</v>
      </c>
      <c r="G140" s="57">
        <v>462182</v>
      </c>
    </row>
    <row r="141" spans="1:7" x14ac:dyDescent="0.25">
      <c r="A141" s="50" t="s">
        <v>132</v>
      </c>
      <c r="B141" s="50">
        <v>12</v>
      </c>
      <c r="C141" s="69">
        <v>212</v>
      </c>
      <c r="D141" s="51" t="s">
        <v>124</v>
      </c>
      <c r="E141" s="50" t="s">
        <v>133</v>
      </c>
      <c r="F141" s="53" t="s">
        <v>276</v>
      </c>
      <c r="G141" s="57">
        <v>462183</v>
      </c>
    </row>
    <row r="142" spans="1:7" x14ac:dyDescent="0.25">
      <c r="A142" s="50" t="s">
        <v>132</v>
      </c>
      <c r="B142" s="50">
        <v>13</v>
      </c>
      <c r="C142" s="69">
        <v>301</v>
      </c>
      <c r="D142" s="50" t="s">
        <v>127</v>
      </c>
      <c r="E142" s="50" t="s">
        <v>133</v>
      </c>
      <c r="F142" s="53" t="s">
        <v>277</v>
      </c>
      <c r="G142" s="57">
        <v>462184</v>
      </c>
    </row>
    <row r="143" spans="1:7" x14ac:dyDescent="0.25">
      <c r="A143" s="50" t="s">
        <v>132</v>
      </c>
      <c r="B143" s="50">
        <v>14</v>
      </c>
      <c r="C143" s="69">
        <v>302</v>
      </c>
      <c r="D143" s="50" t="s">
        <v>127</v>
      </c>
      <c r="E143" s="50" t="s">
        <v>133</v>
      </c>
      <c r="F143" s="53" t="s">
        <v>278</v>
      </c>
      <c r="G143" s="57">
        <v>462185</v>
      </c>
    </row>
    <row r="144" spans="1:7" x14ac:dyDescent="0.25">
      <c r="A144" s="50" t="s">
        <v>132</v>
      </c>
      <c r="B144" s="50">
        <v>15</v>
      </c>
      <c r="C144" s="69">
        <v>303</v>
      </c>
      <c r="D144" s="50" t="s">
        <v>127</v>
      </c>
      <c r="E144" s="50" t="s">
        <v>133</v>
      </c>
      <c r="F144" s="53" t="s">
        <v>279</v>
      </c>
      <c r="G144" s="57">
        <v>462186</v>
      </c>
    </row>
    <row r="145" spans="1:9" x14ac:dyDescent="0.25">
      <c r="A145" s="50" t="s">
        <v>132</v>
      </c>
      <c r="B145" s="50">
        <v>16</v>
      </c>
      <c r="C145" s="69">
        <v>304</v>
      </c>
      <c r="D145" s="50" t="s">
        <v>127</v>
      </c>
      <c r="E145" s="50" t="s">
        <v>133</v>
      </c>
      <c r="F145" s="53" t="s">
        <v>280</v>
      </c>
      <c r="G145" s="57">
        <v>462187</v>
      </c>
    </row>
    <row r="146" spans="1:9" x14ac:dyDescent="0.25">
      <c r="A146" s="50" t="s">
        <v>132</v>
      </c>
      <c r="B146" s="50">
        <v>17</v>
      </c>
      <c r="C146" s="69">
        <v>305</v>
      </c>
      <c r="D146" s="50" t="s">
        <v>127</v>
      </c>
      <c r="E146" s="50" t="s">
        <v>133</v>
      </c>
      <c r="F146" s="53" t="s">
        <v>281</v>
      </c>
      <c r="G146" s="57">
        <v>462188</v>
      </c>
    </row>
    <row r="147" spans="1:9" x14ac:dyDescent="0.25">
      <c r="A147" s="50" t="s">
        <v>132</v>
      </c>
      <c r="B147" s="50">
        <v>18</v>
      </c>
      <c r="C147" s="69">
        <v>306</v>
      </c>
      <c r="D147" s="50" t="s">
        <v>127</v>
      </c>
      <c r="E147" s="50" t="s">
        <v>133</v>
      </c>
      <c r="F147" s="53" t="s">
        <v>282</v>
      </c>
      <c r="G147" s="57">
        <v>462189</v>
      </c>
    </row>
    <row r="148" spans="1:9" ht="15" customHeight="1" x14ac:dyDescent="0.25">
      <c r="A148" s="50" t="s">
        <v>132</v>
      </c>
      <c r="B148" s="50">
        <v>19</v>
      </c>
      <c r="C148" s="69">
        <v>307</v>
      </c>
      <c r="D148" s="50" t="s">
        <v>127</v>
      </c>
      <c r="E148" s="50" t="s">
        <v>133</v>
      </c>
      <c r="F148" s="53" t="s">
        <v>261</v>
      </c>
      <c r="G148" s="57">
        <v>462190</v>
      </c>
    </row>
    <row r="149" spans="1:9" x14ac:dyDescent="0.25">
      <c r="A149" s="50" t="s">
        <v>132</v>
      </c>
      <c r="B149" s="50">
        <v>20</v>
      </c>
      <c r="C149" s="69">
        <v>308</v>
      </c>
      <c r="D149" s="50" t="s">
        <v>127</v>
      </c>
      <c r="E149" s="50" t="s">
        <v>133</v>
      </c>
      <c r="F149" s="53" t="s">
        <v>283</v>
      </c>
      <c r="G149" s="57">
        <v>462191</v>
      </c>
    </row>
    <row r="150" spans="1:9" x14ac:dyDescent="0.25">
      <c r="A150" s="50" t="s">
        <v>132</v>
      </c>
      <c r="B150" s="50">
        <v>21</v>
      </c>
      <c r="C150" s="69">
        <v>309</v>
      </c>
      <c r="D150" s="50" t="s">
        <v>127</v>
      </c>
      <c r="E150" s="50" t="s">
        <v>133</v>
      </c>
      <c r="F150" s="53" t="s">
        <v>263</v>
      </c>
      <c r="G150" s="57">
        <v>462192</v>
      </c>
      <c r="I150" s="19"/>
    </row>
    <row r="151" spans="1:9" x14ac:dyDescent="0.25">
      <c r="A151" s="50" t="s">
        <v>132</v>
      </c>
      <c r="B151" s="50">
        <v>22</v>
      </c>
      <c r="C151" s="69">
        <v>310</v>
      </c>
      <c r="D151" s="50" t="s">
        <v>127</v>
      </c>
      <c r="E151" s="50" t="s">
        <v>133</v>
      </c>
      <c r="F151" s="53" t="s">
        <v>284</v>
      </c>
      <c r="G151" s="57">
        <v>462193</v>
      </c>
    </row>
    <row r="152" spans="1:9" x14ac:dyDescent="0.25">
      <c r="A152" s="50" t="s">
        <v>132</v>
      </c>
      <c r="B152" s="50">
        <v>23</v>
      </c>
      <c r="C152" s="69">
        <v>311</v>
      </c>
      <c r="D152" s="50" t="s">
        <v>127</v>
      </c>
      <c r="E152" s="50" t="s">
        <v>133</v>
      </c>
      <c r="F152" s="53" t="s">
        <v>285</v>
      </c>
      <c r="G152" s="57">
        <v>462194</v>
      </c>
    </row>
    <row r="153" spans="1:9" x14ac:dyDescent="0.25">
      <c r="A153" s="50" t="s">
        <v>132</v>
      </c>
      <c r="B153" s="50">
        <v>24</v>
      </c>
      <c r="C153" s="69">
        <v>312</v>
      </c>
      <c r="D153" s="50" t="s">
        <v>127</v>
      </c>
      <c r="E153" s="50" t="s">
        <v>133</v>
      </c>
      <c r="F153" s="53" t="s">
        <v>286</v>
      </c>
      <c r="G153" s="57">
        <v>462195</v>
      </c>
    </row>
    <row r="154" spans="1:9" x14ac:dyDescent="0.25">
      <c r="A154" s="50" t="s">
        <v>132</v>
      </c>
      <c r="B154" s="50">
        <v>25</v>
      </c>
      <c r="C154" s="70" t="s">
        <v>502</v>
      </c>
      <c r="D154" s="50" t="s">
        <v>41</v>
      </c>
      <c r="E154" s="50" t="s">
        <v>56</v>
      </c>
      <c r="F154" s="53" t="s">
        <v>287</v>
      </c>
      <c r="G154" s="57">
        <v>462196</v>
      </c>
    </row>
    <row r="155" spans="1:9" x14ac:dyDescent="0.25">
      <c r="A155" s="50" t="s">
        <v>132</v>
      </c>
      <c r="B155" s="50">
        <v>26</v>
      </c>
      <c r="C155" s="70" t="s">
        <v>501</v>
      </c>
      <c r="D155" s="50" t="s">
        <v>41</v>
      </c>
      <c r="E155" s="50" t="s">
        <v>56</v>
      </c>
      <c r="F155" s="53" t="s">
        <v>288</v>
      </c>
      <c r="G155" s="57">
        <v>462197</v>
      </c>
    </row>
    <row r="156" spans="1:9" x14ac:dyDescent="0.25">
      <c r="A156" s="50" t="s">
        <v>132</v>
      </c>
      <c r="B156" s="50">
        <v>27</v>
      </c>
      <c r="C156" s="70" t="s">
        <v>535</v>
      </c>
      <c r="D156" s="50" t="s">
        <v>41</v>
      </c>
      <c r="E156" s="50" t="s">
        <v>56</v>
      </c>
      <c r="F156" s="53" t="s">
        <v>289</v>
      </c>
      <c r="G156" s="57">
        <v>462198</v>
      </c>
    </row>
    <row r="157" spans="1:9" x14ac:dyDescent="0.25">
      <c r="A157" s="50" t="s">
        <v>132</v>
      </c>
      <c r="B157" s="50">
        <v>28</v>
      </c>
      <c r="C157" s="70" t="s">
        <v>536</v>
      </c>
      <c r="D157" s="50" t="s">
        <v>41</v>
      </c>
      <c r="E157" s="50" t="s">
        <v>56</v>
      </c>
      <c r="F157" s="53" t="s">
        <v>290</v>
      </c>
      <c r="G157" s="57">
        <v>462199</v>
      </c>
    </row>
    <row r="158" spans="1:9" x14ac:dyDescent="0.25">
      <c r="A158" s="50" t="s">
        <v>132</v>
      </c>
      <c r="B158" s="50">
        <v>29</v>
      </c>
      <c r="C158" s="70" t="s">
        <v>537</v>
      </c>
      <c r="D158" s="50" t="s">
        <v>41</v>
      </c>
      <c r="E158" s="50" t="s">
        <v>56</v>
      </c>
      <c r="F158" s="53" t="s">
        <v>291</v>
      </c>
      <c r="G158" s="57">
        <v>462200</v>
      </c>
    </row>
    <row r="159" spans="1:9" x14ac:dyDescent="0.25">
      <c r="A159" s="50" t="s">
        <v>132</v>
      </c>
      <c r="B159" s="50">
        <v>30</v>
      </c>
      <c r="C159" s="70" t="s">
        <v>538</v>
      </c>
      <c r="D159" s="50" t="s">
        <v>41</v>
      </c>
      <c r="E159" s="50" t="s">
        <v>56</v>
      </c>
      <c r="F159" s="53" t="s">
        <v>292</v>
      </c>
      <c r="G159" s="57">
        <v>462601</v>
      </c>
    </row>
    <row r="160" spans="1:9" x14ac:dyDescent="0.25">
      <c r="A160" s="50" t="s">
        <v>132</v>
      </c>
      <c r="B160" s="50">
        <v>31</v>
      </c>
      <c r="C160" s="70" t="s">
        <v>539</v>
      </c>
      <c r="D160" s="50" t="s">
        <v>41</v>
      </c>
      <c r="E160" s="50" t="s">
        <v>56</v>
      </c>
      <c r="F160" s="53" t="s">
        <v>293</v>
      </c>
      <c r="G160" s="57">
        <v>462602</v>
      </c>
    </row>
    <row r="161" spans="1:7" x14ac:dyDescent="0.25">
      <c r="A161" s="50" t="s">
        <v>132</v>
      </c>
      <c r="B161" s="50">
        <v>32</v>
      </c>
      <c r="C161" s="70" t="s">
        <v>540</v>
      </c>
      <c r="D161" s="50" t="s">
        <v>41</v>
      </c>
      <c r="E161" s="50" t="s">
        <v>56</v>
      </c>
      <c r="F161" s="53" t="s">
        <v>294</v>
      </c>
      <c r="G161" s="57">
        <v>462603</v>
      </c>
    </row>
    <row r="162" spans="1:7" x14ac:dyDescent="0.25">
      <c r="A162" s="50" t="s">
        <v>132</v>
      </c>
      <c r="B162" s="50">
        <v>33</v>
      </c>
      <c r="C162" s="70" t="s">
        <v>541</v>
      </c>
      <c r="D162" s="50" t="s">
        <v>41</v>
      </c>
      <c r="E162" s="50" t="s">
        <v>56</v>
      </c>
      <c r="F162" s="53" t="s">
        <v>295</v>
      </c>
      <c r="G162" s="57">
        <v>462604</v>
      </c>
    </row>
    <row r="163" spans="1:7" x14ac:dyDescent="0.25">
      <c r="A163" s="50" t="s">
        <v>132</v>
      </c>
      <c r="B163" s="50">
        <v>34</v>
      </c>
      <c r="C163" s="70" t="s">
        <v>542</v>
      </c>
      <c r="D163" s="50" t="s">
        <v>41</v>
      </c>
      <c r="E163" s="50" t="s">
        <v>56</v>
      </c>
      <c r="F163" s="53" t="s">
        <v>454</v>
      </c>
      <c r="G163" s="57">
        <v>462605</v>
      </c>
    </row>
    <row r="164" spans="1:7" x14ac:dyDescent="0.25">
      <c r="A164" s="50" t="s">
        <v>132</v>
      </c>
      <c r="B164" s="50">
        <v>35</v>
      </c>
      <c r="C164" s="70" t="s">
        <v>543</v>
      </c>
      <c r="D164" s="50" t="s">
        <v>41</v>
      </c>
      <c r="E164" s="50" t="s">
        <v>56</v>
      </c>
      <c r="F164" s="53" t="s">
        <v>296</v>
      </c>
      <c r="G164" s="57">
        <v>462606</v>
      </c>
    </row>
    <row r="165" spans="1:7" x14ac:dyDescent="0.25">
      <c r="A165" s="50" t="s">
        <v>132</v>
      </c>
      <c r="B165" s="50">
        <v>36</v>
      </c>
      <c r="C165" s="70" t="s">
        <v>544</v>
      </c>
      <c r="D165" s="50" t="s">
        <v>41</v>
      </c>
      <c r="E165" s="50" t="s">
        <v>56</v>
      </c>
      <c r="F165" s="53" t="s">
        <v>285</v>
      </c>
      <c r="G165" s="57">
        <v>462607</v>
      </c>
    </row>
    <row r="166" spans="1:7" x14ac:dyDescent="0.25">
      <c r="A166" s="50" t="s">
        <v>132</v>
      </c>
      <c r="B166" s="50">
        <v>37</v>
      </c>
      <c r="C166" s="70" t="s">
        <v>545</v>
      </c>
      <c r="D166" s="50" t="s">
        <v>41</v>
      </c>
      <c r="E166" s="50" t="s">
        <v>56</v>
      </c>
      <c r="F166" s="53" t="s">
        <v>297</v>
      </c>
      <c r="G166" s="57">
        <v>462608</v>
      </c>
    </row>
    <row r="167" spans="1:7" x14ac:dyDescent="0.25">
      <c r="A167" s="50" t="s">
        <v>132</v>
      </c>
      <c r="B167" s="50">
        <v>38</v>
      </c>
      <c r="C167" s="70" t="s">
        <v>546</v>
      </c>
      <c r="D167" s="50" t="s">
        <v>41</v>
      </c>
      <c r="E167" s="50" t="s">
        <v>56</v>
      </c>
      <c r="F167" s="53" t="s">
        <v>298</v>
      </c>
      <c r="G167" s="57">
        <v>462609</v>
      </c>
    </row>
    <row r="168" spans="1:7" x14ac:dyDescent="0.25">
      <c r="A168" s="50" t="s">
        <v>132</v>
      </c>
      <c r="B168" s="50">
        <v>39</v>
      </c>
      <c r="C168" s="70" t="s">
        <v>535</v>
      </c>
      <c r="D168" s="50" t="s">
        <v>41</v>
      </c>
      <c r="E168" s="50" t="s">
        <v>56</v>
      </c>
      <c r="F168" s="53" t="s">
        <v>455</v>
      </c>
      <c r="G168" s="57">
        <v>462610</v>
      </c>
    </row>
    <row r="169" spans="1:7" x14ac:dyDescent="0.25">
      <c r="A169" s="50" t="s">
        <v>132</v>
      </c>
      <c r="B169" s="50">
        <v>40</v>
      </c>
      <c r="C169" s="70" t="s">
        <v>507</v>
      </c>
      <c r="D169" s="50" t="s">
        <v>41</v>
      </c>
      <c r="E169" s="50" t="s">
        <v>56</v>
      </c>
      <c r="F169" s="53" t="s">
        <v>299</v>
      </c>
      <c r="G169" s="57">
        <v>462611</v>
      </c>
    </row>
    <row r="170" spans="1:7" x14ac:dyDescent="0.25">
      <c r="A170" s="50" t="s">
        <v>132</v>
      </c>
      <c r="B170" s="50">
        <v>41</v>
      </c>
      <c r="C170" s="70" t="s">
        <v>506</v>
      </c>
      <c r="D170" s="50" t="s">
        <v>41</v>
      </c>
      <c r="E170" s="50" t="s">
        <v>56</v>
      </c>
      <c r="F170" s="53" t="s">
        <v>300</v>
      </c>
      <c r="G170" s="57">
        <v>462612</v>
      </c>
    </row>
    <row r="171" spans="1:7" x14ac:dyDescent="0.25">
      <c r="A171" s="50" t="s">
        <v>132</v>
      </c>
      <c r="B171" s="50">
        <v>42</v>
      </c>
      <c r="C171" s="70" t="s">
        <v>505</v>
      </c>
      <c r="D171" s="50" t="s">
        <v>41</v>
      </c>
      <c r="E171" s="50" t="s">
        <v>56</v>
      </c>
      <c r="F171" s="53" t="s">
        <v>301</v>
      </c>
      <c r="G171" s="57">
        <v>462613</v>
      </c>
    </row>
    <row r="172" spans="1:7" x14ac:dyDescent="0.25">
      <c r="A172" s="50" t="s">
        <v>132</v>
      </c>
      <c r="B172" s="50">
        <v>43</v>
      </c>
      <c r="C172" s="70" t="s">
        <v>504</v>
      </c>
      <c r="D172" s="50" t="s">
        <v>41</v>
      </c>
      <c r="E172" s="50" t="s">
        <v>56</v>
      </c>
      <c r="F172" s="53" t="s">
        <v>302</v>
      </c>
      <c r="G172" s="57">
        <v>462614</v>
      </c>
    </row>
    <row r="173" spans="1:7" x14ac:dyDescent="0.25">
      <c r="A173" s="50" t="s">
        <v>132</v>
      </c>
      <c r="B173" s="50">
        <v>44</v>
      </c>
      <c r="C173" s="70" t="s">
        <v>503</v>
      </c>
      <c r="D173" s="50" t="s">
        <v>41</v>
      </c>
      <c r="E173" s="50" t="s">
        <v>56</v>
      </c>
      <c r="F173" s="53" t="s">
        <v>303</v>
      </c>
      <c r="G173" s="57">
        <v>462615</v>
      </c>
    </row>
    <row r="174" spans="1:7" x14ac:dyDescent="0.25">
      <c r="A174" s="50" t="s">
        <v>132</v>
      </c>
      <c r="B174" s="50">
        <v>45</v>
      </c>
      <c r="C174" s="70" t="s">
        <v>499</v>
      </c>
      <c r="D174" s="50" t="s">
        <v>41</v>
      </c>
      <c r="E174" s="50" t="s">
        <v>56</v>
      </c>
      <c r="F174" s="53" t="s">
        <v>304</v>
      </c>
      <c r="G174" s="57">
        <v>462616</v>
      </c>
    </row>
    <row r="175" spans="1:7" x14ac:dyDescent="0.25">
      <c r="A175" s="50" t="s">
        <v>132</v>
      </c>
      <c r="B175" s="50">
        <v>46</v>
      </c>
      <c r="C175" s="70" t="s">
        <v>500</v>
      </c>
      <c r="D175" s="50" t="s">
        <v>41</v>
      </c>
      <c r="E175" s="50" t="s">
        <v>56</v>
      </c>
      <c r="F175" s="53" t="s">
        <v>305</v>
      </c>
      <c r="G175" s="57">
        <v>462617</v>
      </c>
    </row>
    <row r="176" spans="1:7" x14ac:dyDescent="0.25">
      <c r="A176" s="50" t="s">
        <v>132</v>
      </c>
      <c r="B176" s="50">
        <v>47</v>
      </c>
      <c r="C176" s="70" t="s">
        <v>546</v>
      </c>
      <c r="D176" s="50" t="s">
        <v>41</v>
      </c>
      <c r="E176" s="50" t="s">
        <v>56</v>
      </c>
      <c r="F176" s="53" t="s">
        <v>306</v>
      </c>
      <c r="G176" s="57">
        <v>462618</v>
      </c>
    </row>
    <row r="177" spans="1:7" x14ac:dyDescent="0.25">
      <c r="A177" s="50" t="s">
        <v>132</v>
      </c>
      <c r="B177" s="50">
        <v>48</v>
      </c>
      <c r="C177" s="70" t="s">
        <v>545</v>
      </c>
      <c r="D177" s="50" t="s">
        <v>41</v>
      </c>
      <c r="E177" s="50" t="s">
        <v>56</v>
      </c>
      <c r="F177" s="53" t="s">
        <v>307</v>
      </c>
      <c r="G177" s="57">
        <v>462619</v>
      </c>
    </row>
    <row r="178" spans="1:7" x14ac:dyDescent="0.25">
      <c r="A178" s="50" t="s">
        <v>132</v>
      </c>
      <c r="B178" s="50">
        <v>49</v>
      </c>
      <c r="C178" s="70" t="s">
        <v>544</v>
      </c>
      <c r="D178" s="50" t="s">
        <v>41</v>
      </c>
      <c r="E178" s="50" t="s">
        <v>56</v>
      </c>
      <c r="F178" s="53" t="s">
        <v>308</v>
      </c>
      <c r="G178" s="57">
        <v>462620</v>
      </c>
    </row>
    <row r="179" spans="1:7" x14ac:dyDescent="0.25">
      <c r="A179" s="50" t="s">
        <v>132</v>
      </c>
      <c r="B179" s="50">
        <v>50</v>
      </c>
      <c r="C179" s="70" t="s">
        <v>543</v>
      </c>
      <c r="D179" s="50" t="s">
        <v>41</v>
      </c>
      <c r="E179" s="50" t="s">
        <v>56</v>
      </c>
      <c r="F179" s="53" t="s">
        <v>309</v>
      </c>
      <c r="G179" s="57">
        <v>462621</v>
      </c>
    </row>
    <row r="180" spans="1:7" x14ac:dyDescent="0.25">
      <c r="A180" s="50" t="s">
        <v>132</v>
      </c>
      <c r="B180" s="50">
        <v>51</v>
      </c>
      <c r="C180" s="70" t="s">
        <v>542</v>
      </c>
      <c r="D180" s="50" t="s">
        <v>41</v>
      </c>
      <c r="E180" s="50" t="s">
        <v>56</v>
      </c>
      <c r="F180" s="53" t="s">
        <v>310</v>
      </c>
      <c r="G180" s="57">
        <v>462622</v>
      </c>
    </row>
    <row r="181" spans="1:7" x14ac:dyDescent="0.25">
      <c r="A181" s="50" t="s">
        <v>132</v>
      </c>
      <c r="B181" s="50">
        <v>52</v>
      </c>
      <c r="C181" s="69">
        <v>101</v>
      </c>
      <c r="D181" s="50" t="s">
        <v>61</v>
      </c>
      <c r="E181" s="50" t="s">
        <v>56</v>
      </c>
      <c r="F181" s="53" t="s">
        <v>311</v>
      </c>
      <c r="G181" s="57">
        <v>462623</v>
      </c>
    </row>
    <row r="182" spans="1:7" x14ac:dyDescent="0.25">
      <c r="A182" s="50" t="s">
        <v>132</v>
      </c>
      <c r="B182" s="50">
        <v>53</v>
      </c>
      <c r="C182" s="69">
        <v>102</v>
      </c>
      <c r="D182" s="50" t="s">
        <v>61</v>
      </c>
      <c r="E182" s="50" t="s">
        <v>56</v>
      </c>
      <c r="F182" s="53" t="s">
        <v>312</v>
      </c>
      <c r="G182" s="57">
        <v>462624</v>
      </c>
    </row>
    <row r="183" spans="1:7" x14ac:dyDescent="0.25">
      <c r="A183" s="50" t="s">
        <v>132</v>
      </c>
      <c r="B183" s="50">
        <v>54</v>
      </c>
      <c r="C183" s="69">
        <v>103</v>
      </c>
      <c r="D183" s="50" t="s">
        <v>61</v>
      </c>
      <c r="E183" s="50" t="s">
        <v>56</v>
      </c>
      <c r="F183" s="53" t="s">
        <v>313</v>
      </c>
      <c r="G183" s="57">
        <v>462625</v>
      </c>
    </row>
    <row r="184" spans="1:7" x14ac:dyDescent="0.25">
      <c r="A184" s="50" t="s">
        <v>132</v>
      </c>
      <c r="B184" s="50">
        <v>55</v>
      </c>
      <c r="C184" s="69">
        <v>104</v>
      </c>
      <c r="D184" s="50" t="s">
        <v>61</v>
      </c>
      <c r="E184" s="50" t="s">
        <v>56</v>
      </c>
      <c r="F184" s="53" t="s">
        <v>314</v>
      </c>
      <c r="G184" s="57">
        <v>462626</v>
      </c>
    </row>
    <row r="185" spans="1:7" x14ac:dyDescent="0.25">
      <c r="A185" s="50" t="s">
        <v>132</v>
      </c>
      <c r="B185" s="50">
        <v>56</v>
      </c>
      <c r="C185" s="69">
        <v>105</v>
      </c>
      <c r="D185" s="50" t="s">
        <v>61</v>
      </c>
      <c r="E185" s="50" t="s">
        <v>56</v>
      </c>
      <c r="F185" s="53" t="s">
        <v>315</v>
      </c>
      <c r="G185" s="57">
        <v>462627</v>
      </c>
    </row>
    <row r="186" spans="1:7" x14ac:dyDescent="0.25">
      <c r="A186" s="50" t="s">
        <v>132</v>
      </c>
      <c r="B186" s="50">
        <v>57</v>
      </c>
      <c r="C186" s="69">
        <v>106</v>
      </c>
      <c r="D186" s="50" t="s">
        <v>61</v>
      </c>
      <c r="E186" s="50" t="s">
        <v>56</v>
      </c>
      <c r="F186" s="53" t="s">
        <v>316</v>
      </c>
      <c r="G186" s="57">
        <v>462628</v>
      </c>
    </row>
    <row r="187" spans="1:7" x14ac:dyDescent="0.25">
      <c r="A187" s="50" t="s">
        <v>132</v>
      </c>
      <c r="B187" s="50">
        <v>58</v>
      </c>
      <c r="C187" s="69">
        <v>107</v>
      </c>
      <c r="D187" s="50" t="s">
        <v>61</v>
      </c>
      <c r="E187" s="50" t="s">
        <v>56</v>
      </c>
      <c r="F187" s="53" t="s">
        <v>317</v>
      </c>
      <c r="G187" s="57">
        <v>462629</v>
      </c>
    </row>
    <row r="188" spans="1:7" x14ac:dyDescent="0.25">
      <c r="A188" s="50" t="s">
        <v>132</v>
      </c>
      <c r="B188" s="50">
        <v>59</v>
      </c>
      <c r="C188" s="69">
        <v>108</v>
      </c>
      <c r="D188" s="50" t="s">
        <v>61</v>
      </c>
      <c r="E188" s="50" t="s">
        <v>56</v>
      </c>
      <c r="F188" s="53" t="s">
        <v>318</v>
      </c>
      <c r="G188" s="57">
        <v>462630</v>
      </c>
    </row>
    <row r="189" spans="1:7" x14ac:dyDescent="0.25">
      <c r="A189" s="50" t="s">
        <v>132</v>
      </c>
      <c r="B189" s="50">
        <v>60</v>
      </c>
      <c r="C189" s="69">
        <v>109</v>
      </c>
      <c r="D189" s="50" t="s">
        <v>61</v>
      </c>
      <c r="E189" s="50" t="s">
        <v>56</v>
      </c>
      <c r="F189" s="53" t="s">
        <v>319</v>
      </c>
      <c r="G189" s="57">
        <v>462631</v>
      </c>
    </row>
    <row r="190" spans="1:7" x14ac:dyDescent="0.25">
      <c r="A190" s="50" t="s">
        <v>132</v>
      </c>
      <c r="B190" s="50">
        <v>61</v>
      </c>
      <c r="C190" s="69">
        <v>110</v>
      </c>
      <c r="D190" s="50" t="s">
        <v>61</v>
      </c>
      <c r="E190" s="50" t="s">
        <v>56</v>
      </c>
      <c r="F190" s="53" t="s">
        <v>320</v>
      </c>
      <c r="G190" s="57">
        <v>462632</v>
      </c>
    </row>
    <row r="191" spans="1:7" x14ac:dyDescent="0.25">
      <c r="A191" s="50" t="s">
        <v>132</v>
      </c>
      <c r="B191" s="50">
        <v>62</v>
      </c>
      <c r="C191" s="69">
        <v>111</v>
      </c>
      <c r="D191" s="50" t="s">
        <v>61</v>
      </c>
      <c r="E191" s="50" t="s">
        <v>56</v>
      </c>
      <c r="F191" s="53" t="s">
        <v>321</v>
      </c>
      <c r="G191" s="57">
        <v>462633</v>
      </c>
    </row>
    <row r="192" spans="1:7" x14ac:dyDescent="0.25">
      <c r="A192" s="50" t="s">
        <v>132</v>
      </c>
      <c r="B192" s="50">
        <v>63</v>
      </c>
      <c r="C192" s="69">
        <v>112</v>
      </c>
      <c r="D192" s="50" t="s">
        <v>61</v>
      </c>
      <c r="E192" s="50" t="s">
        <v>56</v>
      </c>
      <c r="F192" s="53" t="s">
        <v>322</v>
      </c>
      <c r="G192" s="57">
        <v>462634</v>
      </c>
    </row>
    <row r="193" spans="1:7" x14ac:dyDescent="0.25">
      <c r="A193" s="50" t="s">
        <v>132</v>
      </c>
      <c r="B193" s="50">
        <v>64</v>
      </c>
      <c r="C193" s="69">
        <v>113</v>
      </c>
      <c r="D193" s="50" t="s">
        <v>61</v>
      </c>
      <c r="E193" s="50" t="s">
        <v>56</v>
      </c>
      <c r="F193" s="53" t="s">
        <v>323</v>
      </c>
      <c r="G193" s="57">
        <v>462635</v>
      </c>
    </row>
    <row r="194" spans="1:7" x14ac:dyDescent="0.25">
      <c r="A194" s="50" t="s">
        <v>132</v>
      </c>
      <c r="B194" s="50">
        <v>65</v>
      </c>
      <c r="C194" s="69">
        <v>114</v>
      </c>
      <c r="D194" s="50" t="s">
        <v>61</v>
      </c>
      <c r="E194" s="50" t="s">
        <v>56</v>
      </c>
      <c r="F194" s="53" t="s">
        <v>324</v>
      </c>
      <c r="G194" s="57">
        <v>462636</v>
      </c>
    </row>
    <row r="195" spans="1:7" x14ac:dyDescent="0.25">
      <c r="A195" s="50" t="s">
        <v>132</v>
      </c>
      <c r="B195" s="50">
        <v>66</v>
      </c>
      <c r="C195" s="69">
        <v>115</v>
      </c>
      <c r="D195" s="50" t="s">
        <v>61</v>
      </c>
      <c r="E195" s="50" t="s">
        <v>56</v>
      </c>
      <c r="F195" s="53" t="s">
        <v>325</v>
      </c>
      <c r="G195" s="57">
        <v>462637</v>
      </c>
    </row>
    <row r="196" spans="1:7" x14ac:dyDescent="0.25">
      <c r="A196" s="50" t="s">
        <v>132</v>
      </c>
      <c r="B196" s="50">
        <v>67</v>
      </c>
      <c r="C196" s="69">
        <v>116</v>
      </c>
      <c r="D196" s="50" t="s">
        <v>61</v>
      </c>
      <c r="E196" s="50" t="s">
        <v>56</v>
      </c>
      <c r="F196" s="53" t="s">
        <v>326</v>
      </c>
      <c r="G196" s="57">
        <v>462638</v>
      </c>
    </row>
    <row r="197" spans="1:7" x14ac:dyDescent="0.25">
      <c r="A197" s="50" t="s">
        <v>132</v>
      </c>
      <c r="B197" s="50">
        <v>68</v>
      </c>
      <c r="C197" s="69">
        <v>117</v>
      </c>
      <c r="D197" s="50" t="s">
        <v>61</v>
      </c>
      <c r="E197" s="50" t="s">
        <v>56</v>
      </c>
      <c r="F197" s="53" t="s">
        <v>327</v>
      </c>
      <c r="G197" s="57">
        <v>462639</v>
      </c>
    </row>
    <row r="198" spans="1:7" x14ac:dyDescent="0.25">
      <c r="A198" s="50" t="s">
        <v>132</v>
      </c>
      <c r="B198" s="50">
        <v>69</v>
      </c>
      <c r="C198" s="69">
        <v>118</v>
      </c>
      <c r="D198" s="50" t="s">
        <v>61</v>
      </c>
      <c r="E198" s="50" t="s">
        <v>56</v>
      </c>
      <c r="F198" s="53" t="s">
        <v>328</v>
      </c>
      <c r="G198" s="57">
        <v>462640</v>
      </c>
    </row>
    <row r="199" spans="1:7" x14ac:dyDescent="0.25">
      <c r="A199" s="50" t="s">
        <v>132</v>
      </c>
      <c r="B199" s="50">
        <v>70</v>
      </c>
      <c r="C199" s="69">
        <v>119</v>
      </c>
      <c r="D199" s="50" t="s">
        <v>61</v>
      </c>
      <c r="E199" s="50" t="s">
        <v>56</v>
      </c>
      <c r="F199" s="53" t="s">
        <v>329</v>
      </c>
      <c r="G199" s="57">
        <v>462642</v>
      </c>
    </row>
    <row r="200" spans="1:7" x14ac:dyDescent="0.25">
      <c r="A200" s="50" t="s">
        <v>132</v>
      </c>
      <c r="B200" s="50">
        <v>71</v>
      </c>
      <c r="C200" s="69">
        <v>120</v>
      </c>
      <c r="D200" s="50" t="s">
        <v>61</v>
      </c>
      <c r="E200" s="50" t="s">
        <v>56</v>
      </c>
      <c r="F200" s="53" t="s">
        <v>330</v>
      </c>
      <c r="G200" s="57">
        <v>462643</v>
      </c>
    </row>
    <row r="201" spans="1:7" x14ac:dyDescent="0.25">
      <c r="A201" s="50" t="s">
        <v>132</v>
      </c>
      <c r="B201" s="50">
        <v>72</v>
      </c>
      <c r="C201" s="69">
        <v>121</v>
      </c>
      <c r="D201" s="50" t="s">
        <v>61</v>
      </c>
      <c r="E201" s="50" t="s">
        <v>56</v>
      </c>
      <c r="F201" s="53" t="s">
        <v>331</v>
      </c>
      <c r="G201" s="57">
        <v>462644</v>
      </c>
    </row>
    <row r="202" spans="1:7" x14ac:dyDescent="0.25">
      <c r="A202" s="50" t="s">
        <v>132</v>
      </c>
      <c r="B202" s="50">
        <v>73</v>
      </c>
      <c r="C202" s="69">
        <v>122</v>
      </c>
      <c r="D202" s="50" t="s">
        <v>61</v>
      </c>
      <c r="E202" s="50" t="s">
        <v>56</v>
      </c>
      <c r="F202" s="53" t="s">
        <v>332</v>
      </c>
      <c r="G202" s="57">
        <v>462645</v>
      </c>
    </row>
    <row r="203" spans="1:7" x14ac:dyDescent="0.25">
      <c r="A203" s="50" t="s">
        <v>132</v>
      </c>
      <c r="B203" s="50">
        <v>74</v>
      </c>
      <c r="C203" s="69">
        <v>123</v>
      </c>
      <c r="D203" s="50" t="s">
        <v>61</v>
      </c>
      <c r="E203" s="50" t="s">
        <v>56</v>
      </c>
      <c r="F203" s="53" t="s">
        <v>333</v>
      </c>
      <c r="G203" s="57">
        <v>462646</v>
      </c>
    </row>
    <row r="204" spans="1:7" ht="15" customHeight="1" x14ac:dyDescent="0.25">
      <c r="A204" s="91" t="s">
        <v>142</v>
      </c>
      <c r="B204" s="92"/>
      <c r="C204" s="92"/>
      <c r="D204" s="92"/>
      <c r="E204" s="92"/>
      <c r="F204" s="92"/>
      <c r="G204" s="93"/>
    </row>
    <row r="205" spans="1:7" x14ac:dyDescent="0.25">
      <c r="A205" s="54"/>
      <c r="B205" s="54"/>
      <c r="C205" s="54"/>
      <c r="D205" s="54"/>
      <c r="E205" s="54"/>
      <c r="F205" s="54"/>
    </row>
    <row r="206" spans="1:7" x14ac:dyDescent="0.25">
      <c r="A206" s="61"/>
      <c r="B206" s="61"/>
      <c r="C206" s="61"/>
      <c r="D206" s="61"/>
      <c r="E206" s="61"/>
      <c r="F206" s="61"/>
    </row>
    <row r="207" spans="1:7" ht="18.75" customHeight="1" x14ac:dyDescent="0.25">
      <c r="A207" s="85" t="s">
        <v>138</v>
      </c>
      <c r="B207" s="86"/>
      <c r="C207" s="86"/>
      <c r="D207" s="86"/>
      <c r="E207" s="86"/>
      <c r="F207" s="86"/>
      <c r="G207" s="87"/>
    </row>
    <row r="208" spans="1:7" ht="18.75" x14ac:dyDescent="0.25">
      <c r="A208" s="60" t="s">
        <v>496</v>
      </c>
      <c r="B208" s="60"/>
      <c r="C208" s="60"/>
      <c r="D208" s="60"/>
      <c r="E208" s="60"/>
      <c r="F208" s="60"/>
      <c r="G208" s="57"/>
    </row>
    <row r="209" spans="1:7" ht="33" customHeight="1" x14ac:dyDescent="0.25">
      <c r="A209" s="48" t="s">
        <v>52</v>
      </c>
      <c r="B209" s="49" t="s">
        <v>53</v>
      </c>
      <c r="C209" s="49"/>
      <c r="D209" s="49" t="s">
        <v>54</v>
      </c>
      <c r="E209" s="48" t="s">
        <v>55</v>
      </c>
      <c r="F209" s="48" t="s">
        <v>146</v>
      </c>
      <c r="G209" s="57" t="s">
        <v>577</v>
      </c>
    </row>
    <row r="210" spans="1:7" x14ac:dyDescent="0.25">
      <c r="A210" s="55" t="s">
        <v>137</v>
      </c>
      <c r="B210" s="55">
        <v>1</v>
      </c>
      <c r="C210" s="71">
        <v>201</v>
      </c>
      <c r="D210" s="55" t="s">
        <v>124</v>
      </c>
      <c r="E210" s="55" t="s">
        <v>133</v>
      </c>
      <c r="F210" s="56" t="s">
        <v>334</v>
      </c>
      <c r="G210" s="57">
        <v>462647</v>
      </c>
    </row>
    <row r="211" spans="1:7" x14ac:dyDescent="0.25">
      <c r="A211" s="55" t="s">
        <v>137</v>
      </c>
      <c r="B211" s="55">
        <v>2</v>
      </c>
      <c r="C211" s="71">
        <v>202</v>
      </c>
      <c r="D211" s="55" t="s">
        <v>124</v>
      </c>
      <c r="E211" s="55" t="s">
        <v>133</v>
      </c>
      <c r="F211" s="56" t="s">
        <v>335</v>
      </c>
      <c r="G211" s="57">
        <v>462648</v>
      </c>
    </row>
    <row r="212" spans="1:7" x14ac:dyDescent="0.25">
      <c r="A212" s="55" t="s">
        <v>137</v>
      </c>
      <c r="B212" s="55">
        <v>3</v>
      </c>
      <c r="C212" s="71">
        <v>203</v>
      </c>
      <c r="D212" s="55" t="s">
        <v>124</v>
      </c>
      <c r="E212" s="55" t="s">
        <v>133</v>
      </c>
      <c r="F212" s="56" t="s">
        <v>336</v>
      </c>
      <c r="G212" s="57">
        <v>462649</v>
      </c>
    </row>
    <row r="213" spans="1:7" x14ac:dyDescent="0.25">
      <c r="A213" s="55" t="s">
        <v>137</v>
      </c>
      <c r="B213" s="55">
        <v>4</v>
      </c>
      <c r="C213" s="71">
        <v>204</v>
      </c>
      <c r="D213" s="55" t="s">
        <v>124</v>
      </c>
      <c r="E213" s="55" t="s">
        <v>133</v>
      </c>
      <c r="F213" s="56" t="s">
        <v>337</v>
      </c>
      <c r="G213" s="57">
        <v>462650</v>
      </c>
    </row>
    <row r="214" spans="1:7" x14ac:dyDescent="0.25">
      <c r="A214" s="55" t="s">
        <v>137</v>
      </c>
      <c r="B214" s="55">
        <v>5</v>
      </c>
      <c r="C214" s="71">
        <v>205</v>
      </c>
      <c r="D214" s="55" t="s">
        <v>124</v>
      </c>
      <c r="E214" s="55" t="s">
        <v>133</v>
      </c>
      <c r="F214" s="56" t="s">
        <v>338</v>
      </c>
      <c r="G214" s="57">
        <v>462651</v>
      </c>
    </row>
    <row r="215" spans="1:7" x14ac:dyDescent="0.25">
      <c r="A215" s="55" t="s">
        <v>137</v>
      </c>
      <c r="B215" s="55">
        <v>6</v>
      </c>
      <c r="C215" s="71">
        <v>206</v>
      </c>
      <c r="D215" s="55" t="s">
        <v>124</v>
      </c>
      <c r="E215" s="55" t="s">
        <v>133</v>
      </c>
      <c r="F215" s="56" t="s">
        <v>339</v>
      </c>
      <c r="G215" s="57">
        <v>462652</v>
      </c>
    </row>
    <row r="216" spans="1:7" x14ac:dyDescent="0.25">
      <c r="A216" s="55" t="s">
        <v>137</v>
      </c>
      <c r="B216" s="55">
        <v>7</v>
      </c>
      <c r="C216" s="71">
        <v>207</v>
      </c>
      <c r="D216" s="55" t="s">
        <v>124</v>
      </c>
      <c r="E216" s="55" t="s">
        <v>133</v>
      </c>
      <c r="F216" s="56" t="s">
        <v>340</v>
      </c>
      <c r="G216" s="57">
        <v>462653</v>
      </c>
    </row>
    <row r="217" spans="1:7" x14ac:dyDescent="0.25">
      <c r="A217" s="55" t="s">
        <v>137</v>
      </c>
      <c r="B217" s="55">
        <v>8</v>
      </c>
      <c r="C217" s="71">
        <v>208</v>
      </c>
      <c r="D217" s="55" t="s">
        <v>124</v>
      </c>
      <c r="E217" s="55" t="s">
        <v>133</v>
      </c>
      <c r="F217" s="56" t="s">
        <v>341</v>
      </c>
      <c r="G217" s="57">
        <v>462654</v>
      </c>
    </row>
    <row r="218" spans="1:7" x14ac:dyDescent="0.25">
      <c r="A218" s="55" t="s">
        <v>137</v>
      </c>
      <c r="B218" s="55">
        <v>9</v>
      </c>
      <c r="C218" s="71">
        <v>209</v>
      </c>
      <c r="D218" s="55" t="s">
        <v>124</v>
      </c>
      <c r="E218" s="55" t="s">
        <v>133</v>
      </c>
      <c r="F218" s="56" t="s">
        <v>342</v>
      </c>
      <c r="G218" s="57">
        <v>462655</v>
      </c>
    </row>
    <row r="219" spans="1:7" x14ac:dyDescent="0.25">
      <c r="A219" s="55" t="s">
        <v>137</v>
      </c>
      <c r="B219" s="55">
        <v>10</v>
      </c>
      <c r="C219" s="71">
        <v>210</v>
      </c>
      <c r="D219" s="55" t="s">
        <v>124</v>
      </c>
      <c r="E219" s="55" t="s">
        <v>133</v>
      </c>
      <c r="F219" s="56" t="s">
        <v>343</v>
      </c>
      <c r="G219" s="57">
        <v>462656</v>
      </c>
    </row>
    <row r="220" spans="1:7" x14ac:dyDescent="0.25">
      <c r="A220" s="55" t="s">
        <v>137</v>
      </c>
      <c r="B220" s="55">
        <v>11</v>
      </c>
      <c r="C220" s="71">
        <v>211</v>
      </c>
      <c r="D220" s="55" t="s">
        <v>124</v>
      </c>
      <c r="E220" s="55" t="s">
        <v>133</v>
      </c>
      <c r="F220" s="56" t="s">
        <v>343</v>
      </c>
      <c r="G220" s="57">
        <v>462657</v>
      </c>
    </row>
    <row r="221" spans="1:7" x14ac:dyDescent="0.25">
      <c r="A221" s="55" t="s">
        <v>137</v>
      </c>
      <c r="B221" s="55">
        <v>12</v>
      </c>
      <c r="C221" s="71">
        <v>212</v>
      </c>
      <c r="D221" s="55" t="s">
        <v>124</v>
      </c>
      <c r="E221" s="55" t="s">
        <v>133</v>
      </c>
      <c r="F221" s="56" t="s">
        <v>344</v>
      </c>
      <c r="G221" s="57">
        <v>462658</v>
      </c>
    </row>
    <row r="222" spans="1:7" x14ac:dyDescent="0.25">
      <c r="A222" s="55" t="s">
        <v>137</v>
      </c>
      <c r="B222" s="55">
        <v>13</v>
      </c>
      <c r="C222" s="71">
        <v>213</v>
      </c>
      <c r="D222" s="55" t="s">
        <v>124</v>
      </c>
      <c r="E222" s="55" t="s">
        <v>133</v>
      </c>
      <c r="F222" s="56" t="s">
        <v>345</v>
      </c>
      <c r="G222" s="57">
        <v>462659</v>
      </c>
    </row>
    <row r="223" spans="1:7" x14ac:dyDescent="0.25">
      <c r="A223" s="55" t="s">
        <v>137</v>
      </c>
      <c r="B223" s="55">
        <v>14</v>
      </c>
      <c r="C223" s="71">
        <v>214</v>
      </c>
      <c r="D223" s="55" t="s">
        <v>124</v>
      </c>
      <c r="E223" s="55" t="s">
        <v>133</v>
      </c>
      <c r="F223" s="56" t="s">
        <v>346</v>
      </c>
      <c r="G223" s="57">
        <v>462660</v>
      </c>
    </row>
    <row r="224" spans="1:7" x14ac:dyDescent="0.25">
      <c r="A224" s="55" t="s">
        <v>137</v>
      </c>
      <c r="B224" s="55">
        <v>15</v>
      </c>
      <c r="C224" s="71">
        <v>215</v>
      </c>
      <c r="D224" s="55" t="s">
        <v>124</v>
      </c>
      <c r="E224" s="55" t="s">
        <v>133</v>
      </c>
      <c r="F224" s="56" t="s">
        <v>347</v>
      </c>
      <c r="G224" s="57">
        <v>462661</v>
      </c>
    </row>
    <row r="225" spans="1:7" x14ac:dyDescent="0.25">
      <c r="A225" s="55" t="s">
        <v>137</v>
      </c>
      <c r="B225" s="55">
        <v>16</v>
      </c>
      <c r="C225" s="71">
        <v>216</v>
      </c>
      <c r="D225" s="55" t="s">
        <v>124</v>
      </c>
      <c r="E225" s="55" t="s">
        <v>133</v>
      </c>
      <c r="F225" s="56" t="s">
        <v>348</v>
      </c>
      <c r="G225" s="57">
        <v>462662</v>
      </c>
    </row>
    <row r="226" spans="1:7" x14ac:dyDescent="0.25">
      <c r="A226" s="55" t="s">
        <v>137</v>
      </c>
      <c r="B226" s="55">
        <v>17</v>
      </c>
      <c r="C226" s="71">
        <v>217</v>
      </c>
      <c r="D226" s="55" t="s">
        <v>124</v>
      </c>
      <c r="E226" s="55" t="s">
        <v>133</v>
      </c>
      <c r="F226" s="56" t="s">
        <v>349</v>
      </c>
      <c r="G226" s="57">
        <v>462663</v>
      </c>
    </row>
    <row r="227" spans="1:7" x14ac:dyDescent="0.25">
      <c r="A227" s="55" t="s">
        <v>137</v>
      </c>
      <c r="B227" s="55">
        <v>18</v>
      </c>
      <c r="C227" s="71">
        <v>301</v>
      </c>
      <c r="D227" s="55" t="s">
        <v>127</v>
      </c>
      <c r="E227" s="55" t="s">
        <v>133</v>
      </c>
      <c r="F227" s="56" t="s">
        <v>350</v>
      </c>
      <c r="G227" s="57">
        <v>462664</v>
      </c>
    </row>
    <row r="228" spans="1:7" x14ac:dyDescent="0.25">
      <c r="A228" s="55" t="s">
        <v>137</v>
      </c>
      <c r="B228" s="55">
        <v>19</v>
      </c>
      <c r="C228" s="71">
        <v>302</v>
      </c>
      <c r="D228" s="55" t="s">
        <v>127</v>
      </c>
      <c r="E228" s="55" t="s">
        <v>133</v>
      </c>
      <c r="F228" s="56" t="s">
        <v>351</v>
      </c>
      <c r="G228" s="57">
        <v>462665</v>
      </c>
    </row>
    <row r="229" spans="1:7" x14ac:dyDescent="0.25">
      <c r="A229" s="55" t="s">
        <v>137</v>
      </c>
      <c r="B229" s="55">
        <v>20</v>
      </c>
      <c r="C229" s="71">
        <v>303</v>
      </c>
      <c r="D229" s="55" t="s">
        <v>127</v>
      </c>
      <c r="E229" s="55" t="s">
        <v>133</v>
      </c>
      <c r="F229" s="56" t="s">
        <v>352</v>
      </c>
      <c r="G229" s="57">
        <v>462666</v>
      </c>
    </row>
    <row r="230" spans="1:7" x14ac:dyDescent="0.25">
      <c r="A230" s="55" t="s">
        <v>137</v>
      </c>
      <c r="B230" s="55">
        <v>21</v>
      </c>
      <c r="C230" s="71">
        <v>304</v>
      </c>
      <c r="D230" s="55" t="s">
        <v>127</v>
      </c>
      <c r="E230" s="55" t="s">
        <v>133</v>
      </c>
      <c r="F230" s="56" t="s">
        <v>353</v>
      </c>
      <c r="G230" s="57">
        <v>462667</v>
      </c>
    </row>
    <row r="231" spans="1:7" x14ac:dyDescent="0.25">
      <c r="A231" s="55" t="s">
        <v>137</v>
      </c>
      <c r="B231" s="55">
        <v>22</v>
      </c>
      <c r="C231" s="71">
        <v>305</v>
      </c>
      <c r="D231" s="55" t="s">
        <v>127</v>
      </c>
      <c r="E231" s="55" t="s">
        <v>133</v>
      </c>
      <c r="F231" s="56" t="s">
        <v>354</v>
      </c>
      <c r="G231" s="57">
        <v>462668</v>
      </c>
    </row>
    <row r="232" spans="1:7" x14ac:dyDescent="0.25">
      <c r="A232" s="55" t="s">
        <v>137</v>
      </c>
      <c r="B232" s="55">
        <v>23</v>
      </c>
      <c r="C232" s="71">
        <v>306</v>
      </c>
      <c r="D232" s="55" t="s">
        <v>127</v>
      </c>
      <c r="E232" s="55" t="s">
        <v>133</v>
      </c>
      <c r="F232" s="56" t="s">
        <v>355</v>
      </c>
      <c r="G232" s="57">
        <v>462669</v>
      </c>
    </row>
    <row r="233" spans="1:7" x14ac:dyDescent="0.25">
      <c r="A233" s="55" t="s">
        <v>137</v>
      </c>
      <c r="B233" s="55">
        <v>24</v>
      </c>
      <c r="C233" s="71">
        <v>307</v>
      </c>
      <c r="D233" s="55" t="s">
        <v>127</v>
      </c>
      <c r="E233" s="55" t="s">
        <v>133</v>
      </c>
      <c r="F233" s="56" t="s">
        <v>356</v>
      </c>
      <c r="G233" s="57">
        <v>462670</v>
      </c>
    </row>
    <row r="234" spans="1:7" x14ac:dyDescent="0.25">
      <c r="A234" s="55" t="s">
        <v>137</v>
      </c>
      <c r="B234" s="55">
        <v>25</v>
      </c>
      <c r="C234" s="71">
        <v>308</v>
      </c>
      <c r="D234" s="55" t="s">
        <v>127</v>
      </c>
      <c r="E234" s="55" t="s">
        <v>133</v>
      </c>
      <c r="F234" s="56" t="s">
        <v>357</v>
      </c>
      <c r="G234" s="57">
        <v>462671</v>
      </c>
    </row>
    <row r="235" spans="1:7" x14ac:dyDescent="0.25">
      <c r="A235" s="55" t="s">
        <v>137</v>
      </c>
      <c r="B235" s="55">
        <v>26</v>
      </c>
      <c r="C235" s="71">
        <v>309</v>
      </c>
      <c r="D235" s="55" t="s">
        <v>127</v>
      </c>
      <c r="E235" s="55" t="s">
        <v>133</v>
      </c>
      <c r="F235" s="56" t="s">
        <v>358</v>
      </c>
      <c r="G235" s="57">
        <v>462672</v>
      </c>
    </row>
    <row r="236" spans="1:7" x14ac:dyDescent="0.25">
      <c r="A236" s="55" t="s">
        <v>137</v>
      </c>
      <c r="B236" s="55">
        <v>27</v>
      </c>
      <c r="C236" s="71">
        <v>310</v>
      </c>
      <c r="D236" s="55" t="s">
        <v>127</v>
      </c>
      <c r="E236" s="55" t="s">
        <v>133</v>
      </c>
      <c r="F236" s="56" t="s">
        <v>359</v>
      </c>
      <c r="G236" s="57">
        <v>462673</v>
      </c>
    </row>
    <row r="237" spans="1:7" x14ac:dyDescent="0.25">
      <c r="A237" s="55" t="s">
        <v>137</v>
      </c>
      <c r="B237" s="55">
        <v>28</v>
      </c>
      <c r="C237" s="71">
        <v>311</v>
      </c>
      <c r="D237" s="55" t="s">
        <v>127</v>
      </c>
      <c r="E237" s="55" t="s">
        <v>133</v>
      </c>
      <c r="F237" s="56" t="s">
        <v>360</v>
      </c>
      <c r="G237" s="57">
        <v>462674</v>
      </c>
    </row>
    <row r="238" spans="1:7" x14ac:dyDescent="0.25">
      <c r="A238" s="55" t="s">
        <v>137</v>
      </c>
      <c r="B238" s="55">
        <v>29</v>
      </c>
      <c r="C238" s="71">
        <v>312</v>
      </c>
      <c r="D238" s="55" t="s">
        <v>127</v>
      </c>
      <c r="E238" s="55" t="s">
        <v>133</v>
      </c>
      <c r="F238" s="56" t="s">
        <v>361</v>
      </c>
      <c r="G238" s="57">
        <v>462675</v>
      </c>
    </row>
    <row r="239" spans="1:7" x14ac:dyDescent="0.25">
      <c r="A239" s="55" t="s">
        <v>137</v>
      </c>
      <c r="B239" s="55">
        <v>30</v>
      </c>
      <c r="C239" s="71">
        <v>313</v>
      </c>
      <c r="D239" s="55" t="s">
        <v>127</v>
      </c>
      <c r="E239" s="55" t="s">
        <v>133</v>
      </c>
      <c r="F239" s="56" t="s">
        <v>362</v>
      </c>
      <c r="G239" s="57">
        <v>462676</v>
      </c>
    </row>
    <row r="240" spans="1:7" x14ac:dyDescent="0.25">
      <c r="A240" s="55" t="s">
        <v>137</v>
      </c>
      <c r="B240" s="55">
        <v>31</v>
      </c>
      <c r="C240" s="71">
        <v>314</v>
      </c>
      <c r="D240" s="55" t="s">
        <v>127</v>
      </c>
      <c r="E240" s="55" t="s">
        <v>133</v>
      </c>
      <c r="F240" s="56" t="s">
        <v>363</v>
      </c>
      <c r="G240" s="57">
        <v>462677</v>
      </c>
    </row>
    <row r="241" spans="1:7" x14ac:dyDescent="0.25">
      <c r="A241" s="55" t="s">
        <v>137</v>
      </c>
      <c r="B241" s="55">
        <v>32</v>
      </c>
      <c r="C241" s="71">
        <v>315</v>
      </c>
      <c r="D241" s="55" t="s">
        <v>127</v>
      </c>
      <c r="E241" s="55" t="s">
        <v>133</v>
      </c>
      <c r="F241" s="56" t="s">
        <v>364</v>
      </c>
      <c r="G241" s="57">
        <v>462678</v>
      </c>
    </row>
    <row r="242" spans="1:7" x14ac:dyDescent="0.25">
      <c r="A242" s="55" t="s">
        <v>137</v>
      </c>
      <c r="B242" s="55">
        <v>33</v>
      </c>
      <c r="C242" s="71">
        <v>316</v>
      </c>
      <c r="D242" s="55" t="s">
        <v>127</v>
      </c>
      <c r="E242" s="55" t="s">
        <v>133</v>
      </c>
      <c r="F242" s="56" t="s">
        <v>366</v>
      </c>
      <c r="G242" s="57">
        <v>462679</v>
      </c>
    </row>
    <row r="243" spans="1:7" x14ac:dyDescent="0.25">
      <c r="A243" s="55" t="s">
        <v>137</v>
      </c>
      <c r="B243" s="55">
        <v>34</v>
      </c>
      <c r="C243" s="71">
        <v>317</v>
      </c>
      <c r="D243" s="55" t="s">
        <v>127</v>
      </c>
      <c r="E243" s="55" t="s">
        <v>133</v>
      </c>
      <c r="F243" s="56" t="s">
        <v>365</v>
      </c>
      <c r="G243" s="57">
        <v>462680</v>
      </c>
    </row>
    <row r="244" spans="1:7" x14ac:dyDescent="0.25">
      <c r="A244" s="55" t="s">
        <v>137</v>
      </c>
      <c r="B244" s="55">
        <v>35</v>
      </c>
      <c r="C244" s="71" t="s">
        <v>504</v>
      </c>
      <c r="D244" s="55" t="s">
        <v>141</v>
      </c>
      <c r="E244" s="55" t="s">
        <v>56</v>
      </c>
      <c r="F244" s="56" t="s">
        <v>367</v>
      </c>
      <c r="G244" s="57">
        <v>462681</v>
      </c>
    </row>
    <row r="245" spans="1:7" x14ac:dyDescent="0.25">
      <c r="A245" s="55" t="s">
        <v>137</v>
      </c>
      <c r="B245" s="55">
        <v>36</v>
      </c>
      <c r="C245" s="71" t="s">
        <v>505</v>
      </c>
      <c r="D245" s="55" t="s">
        <v>141</v>
      </c>
      <c r="E245" s="55" t="s">
        <v>56</v>
      </c>
      <c r="F245" s="56" t="s">
        <v>368</v>
      </c>
      <c r="G245" s="57">
        <v>462682</v>
      </c>
    </row>
    <row r="246" spans="1:7" x14ac:dyDescent="0.25">
      <c r="A246" s="55" t="s">
        <v>137</v>
      </c>
      <c r="B246" s="55">
        <v>37</v>
      </c>
      <c r="C246" s="71" t="s">
        <v>506</v>
      </c>
      <c r="D246" s="55" t="s">
        <v>141</v>
      </c>
      <c r="E246" s="55" t="s">
        <v>56</v>
      </c>
      <c r="F246" s="56" t="s">
        <v>369</v>
      </c>
      <c r="G246" s="57">
        <v>462683</v>
      </c>
    </row>
    <row r="247" spans="1:7" x14ac:dyDescent="0.25">
      <c r="A247" s="55" t="s">
        <v>137</v>
      </c>
      <c r="B247" s="55">
        <v>38</v>
      </c>
      <c r="C247" s="71" t="s">
        <v>507</v>
      </c>
      <c r="D247" s="55" t="s">
        <v>141</v>
      </c>
      <c r="E247" s="55" t="s">
        <v>56</v>
      </c>
      <c r="F247" s="56" t="s">
        <v>370</v>
      </c>
      <c r="G247" s="57">
        <v>462684</v>
      </c>
    </row>
    <row r="248" spans="1:7" x14ac:dyDescent="0.25">
      <c r="A248" s="55" t="s">
        <v>137</v>
      </c>
      <c r="B248" s="55">
        <v>39</v>
      </c>
      <c r="C248" s="71" t="s">
        <v>508</v>
      </c>
      <c r="D248" s="55" t="s">
        <v>141</v>
      </c>
      <c r="E248" s="55" t="s">
        <v>56</v>
      </c>
      <c r="F248" s="56" t="s">
        <v>372</v>
      </c>
      <c r="G248" s="57">
        <v>462685</v>
      </c>
    </row>
    <row r="249" spans="1:7" x14ac:dyDescent="0.25">
      <c r="A249" s="55" t="s">
        <v>137</v>
      </c>
      <c r="B249" s="55">
        <v>40</v>
      </c>
      <c r="C249" s="71" t="s">
        <v>509</v>
      </c>
      <c r="D249" s="55" t="s">
        <v>141</v>
      </c>
      <c r="E249" s="55" t="s">
        <v>56</v>
      </c>
      <c r="F249" s="56" t="s">
        <v>373</v>
      </c>
      <c r="G249" s="57">
        <v>462686</v>
      </c>
    </row>
    <row r="250" spans="1:7" x14ac:dyDescent="0.25">
      <c r="A250" s="55" t="s">
        <v>137</v>
      </c>
      <c r="B250" s="55">
        <v>41</v>
      </c>
      <c r="C250" s="71" t="s">
        <v>510</v>
      </c>
      <c r="D250" s="55" t="s">
        <v>141</v>
      </c>
      <c r="E250" s="55" t="s">
        <v>56</v>
      </c>
      <c r="F250" s="56" t="s">
        <v>374</v>
      </c>
      <c r="G250" s="57">
        <v>462687</v>
      </c>
    </row>
    <row r="251" spans="1:7" x14ac:dyDescent="0.25">
      <c r="A251" s="55" t="s">
        <v>137</v>
      </c>
      <c r="B251" s="55">
        <v>42</v>
      </c>
      <c r="C251" s="71" t="s">
        <v>511</v>
      </c>
      <c r="D251" s="55" t="s">
        <v>141</v>
      </c>
      <c r="E251" s="55" t="s">
        <v>56</v>
      </c>
      <c r="F251" s="56" t="s">
        <v>375</v>
      </c>
      <c r="G251" s="57">
        <v>462688</v>
      </c>
    </row>
    <row r="252" spans="1:7" x14ac:dyDescent="0.25">
      <c r="A252" s="55" t="s">
        <v>137</v>
      </c>
      <c r="B252" s="55">
        <v>43</v>
      </c>
      <c r="C252" s="71" t="s">
        <v>512</v>
      </c>
      <c r="D252" s="55" t="s">
        <v>141</v>
      </c>
      <c r="E252" s="55" t="s">
        <v>56</v>
      </c>
      <c r="F252" s="56" t="s">
        <v>376</v>
      </c>
      <c r="G252" s="57">
        <v>462689</v>
      </c>
    </row>
    <row r="253" spans="1:7" x14ac:dyDescent="0.25">
      <c r="A253" s="55" t="s">
        <v>137</v>
      </c>
      <c r="B253" s="55">
        <v>44</v>
      </c>
      <c r="C253" s="71" t="s">
        <v>513</v>
      </c>
      <c r="D253" s="55" t="s">
        <v>141</v>
      </c>
      <c r="E253" s="55" t="s">
        <v>56</v>
      </c>
      <c r="F253" s="56" t="s">
        <v>377</v>
      </c>
      <c r="G253" s="57">
        <v>462690</v>
      </c>
    </row>
    <row r="254" spans="1:7" x14ac:dyDescent="0.25">
      <c r="A254" s="55" t="s">
        <v>137</v>
      </c>
      <c r="B254" s="55">
        <v>45</v>
      </c>
      <c r="C254" s="71" t="s">
        <v>514</v>
      </c>
      <c r="D254" s="55" t="s">
        <v>141</v>
      </c>
      <c r="E254" s="55" t="s">
        <v>56</v>
      </c>
      <c r="F254" s="56" t="s">
        <v>378</v>
      </c>
      <c r="G254" s="57">
        <v>462691</v>
      </c>
    </row>
    <row r="255" spans="1:7" x14ac:dyDescent="0.25">
      <c r="A255" s="55" t="s">
        <v>137</v>
      </c>
      <c r="B255" s="55">
        <v>46</v>
      </c>
      <c r="C255" s="71" t="s">
        <v>515</v>
      </c>
      <c r="D255" s="55" t="s">
        <v>141</v>
      </c>
      <c r="E255" s="55" t="s">
        <v>56</v>
      </c>
      <c r="F255" s="56" t="s">
        <v>379</v>
      </c>
      <c r="G255" s="57">
        <v>462692</v>
      </c>
    </row>
    <row r="256" spans="1:7" x14ac:dyDescent="0.25">
      <c r="A256" s="55" t="s">
        <v>137</v>
      </c>
      <c r="B256" s="55">
        <v>47</v>
      </c>
      <c r="C256" s="71" t="s">
        <v>516</v>
      </c>
      <c r="D256" s="55" t="s">
        <v>141</v>
      </c>
      <c r="E256" s="55" t="s">
        <v>56</v>
      </c>
      <c r="F256" s="56" t="s">
        <v>456</v>
      </c>
      <c r="G256" s="57">
        <v>462693</v>
      </c>
    </row>
    <row r="257" spans="1:7" x14ac:dyDescent="0.25">
      <c r="A257" s="55" t="s">
        <v>137</v>
      </c>
      <c r="B257" s="55">
        <v>48</v>
      </c>
      <c r="C257" s="71" t="s">
        <v>517</v>
      </c>
      <c r="D257" s="55" t="s">
        <v>141</v>
      </c>
      <c r="E257" s="55" t="s">
        <v>56</v>
      </c>
      <c r="F257" s="56" t="s">
        <v>380</v>
      </c>
      <c r="G257" s="57">
        <v>462694</v>
      </c>
    </row>
    <row r="258" spans="1:7" x14ac:dyDescent="0.25">
      <c r="A258" s="55" t="s">
        <v>137</v>
      </c>
      <c r="B258" s="55">
        <v>49</v>
      </c>
      <c r="C258" s="71" t="s">
        <v>518</v>
      </c>
      <c r="D258" s="55" t="s">
        <v>141</v>
      </c>
      <c r="E258" s="55" t="s">
        <v>56</v>
      </c>
      <c r="F258" s="56" t="s">
        <v>381</v>
      </c>
      <c r="G258" s="57">
        <v>462695</v>
      </c>
    </row>
    <row r="259" spans="1:7" x14ac:dyDescent="0.25">
      <c r="A259" s="55" t="s">
        <v>137</v>
      </c>
      <c r="B259" s="55">
        <v>50</v>
      </c>
      <c r="C259" s="71" t="s">
        <v>519</v>
      </c>
      <c r="D259" s="55" t="s">
        <v>141</v>
      </c>
      <c r="E259" s="55" t="s">
        <v>56</v>
      </c>
      <c r="F259" s="56" t="s">
        <v>382</v>
      </c>
      <c r="G259" s="57">
        <v>462696</v>
      </c>
    </row>
    <row r="260" spans="1:7" x14ac:dyDescent="0.25">
      <c r="A260" s="55" t="s">
        <v>137</v>
      </c>
      <c r="B260" s="55">
        <v>51</v>
      </c>
      <c r="C260" s="71" t="s">
        <v>520</v>
      </c>
      <c r="D260" s="55" t="s">
        <v>141</v>
      </c>
      <c r="E260" s="55" t="s">
        <v>56</v>
      </c>
      <c r="F260" s="56" t="s">
        <v>383</v>
      </c>
      <c r="G260" s="57">
        <v>462697</v>
      </c>
    </row>
    <row r="261" spans="1:7" x14ac:dyDescent="0.25">
      <c r="A261" s="55" t="s">
        <v>137</v>
      </c>
      <c r="B261" s="55">
        <v>52</v>
      </c>
      <c r="C261" s="71" t="s">
        <v>521</v>
      </c>
      <c r="D261" s="55" t="s">
        <v>141</v>
      </c>
      <c r="E261" s="55" t="s">
        <v>56</v>
      </c>
      <c r="F261" s="56" t="s">
        <v>384</v>
      </c>
      <c r="G261" s="57">
        <v>462698</v>
      </c>
    </row>
    <row r="262" spans="1:7" x14ac:dyDescent="0.25">
      <c r="A262" s="55" t="s">
        <v>137</v>
      </c>
      <c r="B262" s="55">
        <v>53</v>
      </c>
      <c r="C262" s="71" t="s">
        <v>522</v>
      </c>
      <c r="D262" s="55" t="s">
        <v>141</v>
      </c>
      <c r="E262" s="55" t="s">
        <v>56</v>
      </c>
      <c r="F262" s="56" t="s">
        <v>385</v>
      </c>
      <c r="G262" s="57">
        <v>462699</v>
      </c>
    </row>
    <row r="263" spans="1:7" x14ac:dyDescent="0.25">
      <c r="A263" s="55" t="s">
        <v>137</v>
      </c>
      <c r="B263" s="55">
        <v>54</v>
      </c>
      <c r="C263" s="71" t="s">
        <v>523</v>
      </c>
      <c r="D263" s="55" t="s">
        <v>141</v>
      </c>
      <c r="E263" s="55" t="s">
        <v>56</v>
      </c>
      <c r="F263" s="56" t="s">
        <v>386</v>
      </c>
      <c r="G263" s="57">
        <v>462700</v>
      </c>
    </row>
    <row r="264" spans="1:7" x14ac:dyDescent="0.25">
      <c r="A264" s="55" t="s">
        <v>137</v>
      </c>
      <c r="B264" s="55">
        <v>55</v>
      </c>
      <c r="C264" s="71" t="s">
        <v>524</v>
      </c>
      <c r="D264" s="55" t="s">
        <v>141</v>
      </c>
      <c r="E264" s="55" t="s">
        <v>56</v>
      </c>
      <c r="F264" s="56" t="s">
        <v>387</v>
      </c>
      <c r="G264" s="57">
        <v>462701</v>
      </c>
    </row>
    <row r="265" spans="1:7" x14ac:dyDescent="0.25">
      <c r="A265" s="55" t="s">
        <v>137</v>
      </c>
      <c r="B265" s="55">
        <v>56</v>
      </c>
      <c r="C265" s="71" t="s">
        <v>525</v>
      </c>
      <c r="D265" s="55" t="s">
        <v>141</v>
      </c>
      <c r="E265" s="55" t="s">
        <v>56</v>
      </c>
      <c r="F265" s="56" t="s">
        <v>388</v>
      </c>
      <c r="G265" s="57">
        <v>462702</v>
      </c>
    </row>
    <row r="266" spans="1:7" x14ac:dyDescent="0.25">
      <c r="A266" s="55" t="s">
        <v>137</v>
      </c>
      <c r="B266" s="55">
        <v>57</v>
      </c>
      <c r="C266" s="71" t="s">
        <v>499</v>
      </c>
      <c r="D266" s="55" t="s">
        <v>141</v>
      </c>
      <c r="E266" s="55" t="s">
        <v>56</v>
      </c>
      <c r="F266" s="56" t="s">
        <v>389</v>
      </c>
      <c r="G266" s="57">
        <v>462703</v>
      </c>
    </row>
    <row r="267" spans="1:7" x14ac:dyDescent="0.25">
      <c r="A267" s="55" t="s">
        <v>137</v>
      </c>
      <c r="B267" s="55">
        <v>58</v>
      </c>
      <c r="C267" s="71" t="s">
        <v>500</v>
      </c>
      <c r="D267" s="55" t="s">
        <v>141</v>
      </c>
      <c r="E267" s="55" t="s">
        <v>56</v>
      </c>
      <c r="F267" s="56" t="s">
        <v>451</v>
      </c>
      <c r="G267" s="57">
        <v>462704</v>
      </c>
    </row>
    <row r="268" spans="1:7" x14ac:dyDescent="0.25">
      <c r="A268" s="55" t="s">
        <v>137</v>
      </c>
      <c r="B268" s="55">
        <v>59</v>
      </c>
      <c r="C268" s="71" t="s">
        <v>501</v>
      </c>
      <c r="D268" s="55" t="s">
        <v>141</v>
      </c>
      <c r="E268" s="55" t="s">
        <v>56</v>
      </c>
      <c r="F268" s="56" t="s">
        <v>452</v>
      </c>
      <c r="G268" s="57">
        <v>462705</v>
      </c>
    </row>
    <row r="269" spans="1:7" x14ac:dyDescent="0.25">
      <c r="A269" s="55" t="s">
        <v>137</v>
      </c>
      <c r="B269" s="55">
        <v>60</v>
      </c>
      <c r="C269" s="71" t="s">
        <v>502</v>
      </c>
      <c r="D269" s="55" t="s">
        <v>141</v>
      </c>
      <c r="E269" s="55" t="s">
        <v>56</v>
      </c>
      <c r="F269" s="56" t="s">
        <v>390</v>
      </c>
      <c r="G269" s="57">
        <v>462706</v>
      </c>
    </row>
    <row r="270" spans="1:7" x14ac:dyDescent="0.25">
      <c r="A270" s="55" t="s">
        <v>137</v>
      </c>
      <c r="B270" s="55">
        <v>61</v>
      </c>
      <c r="C270" s="71" t="s">
        <v>503</v>
      </c>
      <c r="D270" s="55" t="s">
        <v>141</v>
      </c>
      <c r="E270" s="55" t="s">
        <v>56</v>
      </c>
      <c r="F270" s="56" t="s">
        <v>391</v>
      </c>
      <c r="G270" s="57">
        <v>462707</v>
      </c>
    </row>
    <row r="271" spans="1:7" x14ac:dyDescent="0.25">
      <c r="A271" s="55" t="s">
        <v>137</v>
      </c>
      <c r="B271" s="55">
        <v>62</v>
      </c>
      <c r="C271" s="71" t="s">
        <v>504</v>
      </c>
      <c r="D271" s="55" t="s">
        <v>141</v>
      </c>
      <c r="E271" s="55" t="s">
        <v>56</v>
      </c>
      <c r="F271" s="56" t="s">
        <v>484</v>
      </c>
      <c r="G271" s="57">
        <v>462708</v>
      </c>
    </row>
    <row r="272" spans="1:7" x14ac:dyDescent="0.25">
      <c r="A272" s="55" t="s">
        <v>137</v>
      </c>
      <c r="B272" s="55">
        <v>63</v>
      </c>
      <c r="C272" s="71" t="s">
        <v>505</v>
      </c>
      <c r="D272" s="55" t="s">
        <v>141</v>
      </c>
      <c r="E272" s="55" t="s">
        <v>56</v>
      </c>
      <c r="F272" s="56" t="s">
        <v>485</v>
      </c>
      <c r="G272" s="57">
        <v>462709</v>
      </c>
    </row>
    <row r="273" spans="1:7" x14ac:dyDescent="0.25">
      <c r="A273" s="55" t="s">
        <v>137</v>
      </c>
      <c r="B273" s="55">
        <v>64</v>
      </c>
      <c r="C273" s="71" t="s">
        <v>499</v>
      </c>
      <c r="D273" s="55" t="s">
        <v>141</v>
      </c>
      <c r="E273" s="55" t="s">
        <v>56</v>
      </c>
      <c r="F273" s="56" t="s">
        <v>486</v>
      </c>
      <c r="G273" s="57">
        <v>462710</v>
      </c>
    </row>
    <row r="274" spans="1:7" x14ac:dyDescent="0.25">
      <c r="A274" s="55" t="s">
        <v>137</v>
      </c>
      <c r="B274" s="55">
        <v>65</v>
      </c>
      <c r="C274" s="71" t="s">
        <v>500</v>
      </c>
      <c r="D274" s="55" t="s">
        <v>141</v>
      </c>
      <c r="E274" s="55" t="s">
        <v>56</v>
      </c>
      <c r="F274" s="56" t="s">
        <v>487</v>
      </c>
      <c r="G274" s="57">
        <v>462711</v>
      </c>
    </row>
    <row r="275" spans="1:7" x14ac:dyDescent="0.25">
      <c r="A275" s="55" t="s">
        <v>137</v>
      </c>
      <c r="B275" s="55">
        <v>66</v>
      </c>
      <c r="C275" s="71" t="s">
        <v>501</v>
      </c>
      <c r="D275" s="55" t="s">
        <v>141</v>
      </c>
      <c r="E275" s="55" t="s">
        <v>56</v>
      </c>
      <c r="F275" s="56" t="s">
        <v>488</v>
      </c>
      <c r="G275" s="57">
        <v>462712</v>
      </c>
    </row>
    <row r="276" spans="1:7" x14ac:dyDescent="0.25">
      <c r="A276" s="55" t="s">
        <v>137</v>
      </c>
      <c r="B276" s="55">
        <v>67</v>
      </c>
      <c r="C276" s="71" t="s">
        <v>502</v>
      </c>
      <c r="D276" s="55" t="s">
        <v>141</v>
      </c>
      <c r="E276" s="55" t="s">
        <v>56</v>
      </c>
      <c r="F276" s="56" t="s">
        <v>489</v>
      </c>
      <c r="G276" s="57">
        <v>462713</v>
      </c>
    </row>
    <row r="277" spans="1:7" x14ac:dyDescent="0.25">
      <c r="A277" s="55" t="s">
        <v>137</v>
      </c>
      <c r="B277" s="55">
        <v>68</v>
      </c>
      <c r="C277" s="71" t="s">
        <v>503</v>
      </c>
      <c r="D277" s="55" t="s">
        <v>141</v>
      </c>
      <c r="E277" s="55" t="s">
        <v>56</v>
      </c>
      <c r="F277" s="56" t="s">
        <v>490</v>
      </c>
      <c r="G277" s="57">
        <v>462714</v>
      </c>
    </row>
    <row r="278" spans="1:7" x14ac:dyDescent="0.25">
      <c r="A278" s="55" t="s">
        <v>137</v>
      </c>
      <c r="B278" s="55">
        <v>69</v>
      </c>
      <c r="C278" s="71" t="s">
        <v>526</v>
      </c>
      <c r="D278" s="55" t="s">
        <v>141</v>
      </c>
      <c r="E278" s="55" t="s">
        <v>56</v>
      </c>
      <c r="F278" s="56" t="s">
        <v>491</v>
      </c>
      <c r="G278" s="57">
        <v>462715</v>
      </c>
    </row>
    <row r="279" spans="1:7" x14ac:dyDescent="0.25">
      <c r="A279" s="55" t="s">
        <v>137</v>
      </c>
      <c r="B279" s="55">
        <v>70</v>
      </c>
      <c r="C279" s="71" t="s">
        <v>527</v>
      </c>
      <c r="D279" s="55" t="s">
        <v>141</v>
      </c>
      <c r="E279" s="55" t="s">
        <v>56</v>
      </c>
      <c r="F279" s="56" t="s">
        <v>392</v>
      </c>
      <c r="G279" s="57">
        <v>462716</v>
      </c>
    </row>
    <row r="280" spans="1:7" x14ac:dyDescent="0.25">
      <c r="A280" s="55" t="s">
        <v>137</v>
      </c>
      <c r="B280" s="55">
        <v>71</v>
      </c>
      <c r="C280" s="71" t="s">
        <v>528</v>
      </c>
      <c r="D280" s="55" t="s">
        <v>141</v>
      </c>
      <c r="E280" s="55" t="s">
        <v>56</v>
      </c>
      <c r="F280" s="56" t="s">
        <v>393</v>
      </c>
      <c r="G280" s="57">
        <v>462717</v>
      </c>
    </row>
    <row r="281" spans="1:7" x14ac:dyDescent="0.25">
      <c r="A281" s="55" t="s">
        <v>137</v>
      </c>
      <c r="B281" s="55">
        <v>72</v>
      </c>
      <c r="C281" s="71" t="s">
        <v>529</v>
      </c>
      <c r="D281" s="55" t="s">
        <v>141</v>
      </c>
      <c r="E281" s="55" t="s">
        <v>56</v>
      </c>
      <c r="F281" s="56" t="s">
        <v>394</v>
      </c>
      <c r="G281" s="57">
        <v>462718</v>
      </c>
    </row>
    <row r="282" spans="1:7" x14ac:dyDescent="0.25">
      <c r="A282" s="55" t="s">
        <v>137</v>
      </c>
      <c r="B282" s="55">
        <v>73</v>
      </c>
      <c r="C282" s="71" t="s">
        <v>530</v>
      </c>
      <c r="D282" s="55" t="s">
        <v>141</v>
      </c>
      <c r="E282" s="55" t="s">
        <v>56</v>
      </c>
      <c r="F282" s="56" t="s">
        <v>395</v>
      </c>
      <c r="G282" s="57">
        <v>462719</v>
      </c>
    </row>
    <row r="283" spans="1:7" x14ac:dyDescent="0.25">
      <c r="A283" s="55" t="s">
        <v>137</v>
      </c>
      <c r="B283" s="55">
        <v>74</v>
      </c>
      <c r="C283" s="71" t="s">
        <v>531</v>
      </c>
      <c r="D283" s="55" t="s">
        <v>141</v>
      </c>
      <c r="E283" s="55" t="s">
        <v>56</v>
      </c>
      <c r="F283" s="56" t="s">
        <v>371</v>
      </c>
      <c r="G283" s="57">
        <v>462720</v>
      </c>
    </row>
    <row r="284" spans="1:7" x14ac:dyDescent="0.25">
      <c r="A284" s="55" t="s">
        <v>137</v>
      </c>
      <c r="B284" s="55">
        <v>75</v>
      </c>
      <c r="C284" s="71" t="s">
        <v>532</v>
      </c>
      <c r="D284" s="55" t="s">
        <v>141</v>
      </c>
      <c r="E284" s="55" t="s">
        <v>56</v>
      </c>
      <c r="F284" s="56" t="s">
        <v>396</v>
      </c>
      <c r="G284" s="57">
        <v>462721</v>
      </c>
    </row>
    <row r="285" spans="1:7" x14ac:dyDescent="0.25">
      <c r="A285" s="55" t="s">
        <v>137</v>
      </c>
      <c r="B285" s="55">
        <v>76</v>
      </c>
      <c r="C285" s="71" t="s">
        <v>533</v>
      </c>
      <c r="D285" s="55" t="s">
        <v>141</v>
      </c>
      <c r="E285" s="55" t="s">
        <v>56</v>
      </c>
      <c r="F285" s="56" t="s">
        <v>397</v>
      </c>
      <c r="G285" s="57">
        <v>462722</v>
      </c>
    </row>
    <row r="286" spans="1:7" x14ac:dyDescent="0.25">
      <c r="A286" s="55" t="s">
        <v>137</v>
      </c>
      <c r="B286" s="55">
        <v>77</v>
      </c>
      <c r="C286" s="71" t="s">
        <v>534</v>
      </c>
      <c r="D286" s="55" t="s">
        <v>141</v>
      </c>
      <c r="E286" s="55" t="s">
        <v>56</v>
      </c>
      <c r="F286" s="56" t="s">
        <v>398</v>
      </c>
      <c r="G286" s="57">
        <v>462723</v>
      </c>
    </row>
    <row r="287" spans="1:7" x14ac:dyDescent="0.25">
      <c r="A287" s="55" t="s">
        <v>137</v>
      </c>
      <c r="B287" s="55">
        <v>78</v>
      </c>
      <c r="C287" s="71">
        <v>101</v>
      </c>
      <c r="D287" s="55" t="s">
        <v>61</v>
      </c>
      <c r="E287" s="55" t="s">
        <v>56</v>
      </c>
      <c r="F287" s="56" t="s">
        <v>399</v>
      </c>
      <c r="G287" s="57">
        <v>462724</v>
      </c>
    </row>
    <row r="288" spans="1:7" x14ac:dyDescent="0.25">
      <c r="A288" s="55" t="s">
        <v>137</v>
      </c>
      <c r="B288" s="55">
        <v>79</v>
      </c>
      <c r="C288" s="71">
        <v>102</v>
      </c>
      <c r="D288" s="55" t="s">
        <v>61</v>
      </c>
      <c r="E288" s="55" t="s">
        <v>56</v>
      </c>
      <c r="F288" s="56" t="s">
        <v>400</v>
      </c>
      <c r="G288" s="57">
        <v>462725</v>
      </c>
    </row>
    <row r="289" spans="1:7" x14ac:dyDescent="0.25">
      <c r="A289" s="55" t="s">
        <v>137</v>
      </c>
      <c r="B289" s="55">
        <v>80</v>
      </c>
      <c r="C289" s="71">
        <v>103</v>
      </c>
      <c r="D289" s="55" t="s">
        <v>61</v>
      </c>
      <c r="E289" s="55" t="s">
        <v>56</v>
      </c>
      <c r="F289" s="56" t="s">
        <v>410</v>
      </c>
      <c r="G289" s="57">
        <v>462726</v>
      </c>
    </row>
    <row r="290" spans="1:7" x14ac:dyDescent="0.25">
      <c r="A290" s="55" t="s">
        <v>137</v>
      </c>
      <c r="B290" s="55">
        <v>81</v>
      </c>
      <c r="C290" s="71">
        <v>104</v>
      </c>
      <c r="D290" s="55" t="s">
        <v>61</v>
      </c>
      <c r="E290" s="55" t="s">
        <v>56</v>
      </c>
      <c r="F290" s="56" t="s">
        <v>401</v>
      </c>
      <c r="G290" s="57">
        <v>462727</v>
      </c>
    </row>
    <row r="291" spans="1:7" x14ac:dyDescent="0.25">
      <c r="A291" s="55" t="s">
        <v>137</v>
      </c>
      <c r="B291" s="55">
        <v>82</v>
      </c>
      <c r="C291" s="71">
        <v>105</v>
      </c>
      <c r="D291" s="55" t="s">
        <v>61</v>
      </c>
      <c r="E291" s="55" t="s">
        <v>56</v>
      </c>
      <c r="F291" s="56" t="s">
        <v>402</v>
      </c>
      <c r="G291" s="57">
        <v>462728</v>
      </c>
    </row>
    <row r="292" spans="1:7" x14ac:dyDescent="0.25">
      <c r="A292" s="55" t="s">
        <v>137</v>
      </c>
      <c r="B292" s="55">
        <v>83</v>
      </c>
      <c r="C292" s="71">
        <v>106</v>
      </c>
      <c r="D292" s="55" t="s">
        <v>61</v>
      </c>
      <c r="E292" s="55" t="s">
        <v>56</v>
      </c>
      <c r="F292" s="56" t="s">
        <v>403</v>
      </c>
      <c r="G292" s="57">
        <v>462729</v>
      </c>
    </row>
    <row r="293" spans="1:7" x14ac:dyDescent="0.25">
      <c r="A293" s="55" t="s">
        <v>137</v>
      </c>
      <c r="B293" s="55">
        <v>84</v>
      </c>
      <c r="C293" s="71">
        <v>107</v>
      </c>
      <c r="D293" s="55" t="s">
        <v>61</v>
      </c>
      <c r="E293" s="55" t="s">
        <v>56</v>
      </c>
      <c r="F293" s="56" t="s">
        <v>404</v>
      </c>
      <c r="G293" s="57">
        <v>462730</v>
      </c>
    </row>
    <row r="294" spans="1:7" x14ac:dyDescent="0.25">
      <c r="A294" s="55" t="s">
        <v>137</v>
      </c>
      <c r="B294" s="55">
        <v>85</v>
      </c>
      <c r="C294" s="71">
        <v>108</v>
      </c>
      <c r="D294" s="55" t="s">
        <v>61</v>
      </c>
      <c r="E294" s="55" t="s">
        <v>56</v>
      </c>
      <c r="F294" s="56" t="s">
        <v>405</v>
      </c>
      <c r="G294" s="57">
        <v>462731</v>
      </c>
    </row>
    <row r="295" spans="1:7" x14ac:dyDescent="0.25">
      <c r="A295" s="55" t="s">
        <v>137</v>
      </c>
      <c r="B295" s="55">
        <v>86</v>
      </c>
      <c r="C295" s="71">
        <v>109</v>
      </c>
      <c r="D295" s="55" t="s">
        <v>61</v>
      </c>
      <c r="E295" s="55" t="s">
        <v>56</v>
      </c>
      <c r="F295" s="56" t="s">
        <v>406</v>
      </c>
      <c r="G295" s="57">
        <v>462732</v>
      </c>
    </row>
    <row r="296" spans="1:7" x14ac:dyDescent="0.25">
      <c r="A296" s="55" t="s">
        <v>137</v>
      </c>
      <c r="B296" s="55">
        <v>87</v>
      </c>
      <c r="C296" s="71">
        <v>110</v>
      </c>
      <c r="D296" s="55" t="s">
        <v>61</v>
      </c>
      <c r="E296" s="55" t="s">
        <v>56</v>
      </c>
      <c r="F296" s="56" t="s">
        <v>407</v>
      </c>
      <c r="G296" s="57">
        <v>462733</v>
      </c>
    </row>
    <row r="297" spans="1:7" x14ac:dyDescent="0.25">
      <c r="A297" s="55" t="s">
        <v>137</v>
      </c>
      <c r="B297" s="55">
        <v>88</v>
      </c>
      <c r="C297" s="71">
        <v>111</v>
      </c>
      <c r="D297" s="55" t="s">
        <v>61</v>
      </c>
      <c r="E297" s="55" t="s">
        <v>56</v>
      </c>
      <c r="F297" s="56" t="s">
        <v>408</v>
      </c>
      <c r="G297" s="57">
        <v>462734</v>
      </c>
    </row>
    <row r="298" spans="1:7" x14ac:dyDescent="0.25">
      <c r="A298" s="55" t="s">
        <v>137</v>
      </c>
      <c r="B298" s="55">
        <v>89</v>
      </c>
      <c r="C298" s="71">
        <v>112</v>
      </c>
      <c r="D298" s="55" t="s">
        <v>61</v>
      </c>
      <c r="E298" s="55" t="s">
        <v>56</v>
      </c>
      <c r="F298" s="56" t="s">
        <v>409</v>
      </c>
      <c r="G298" s="57">
        <v>462735</v>
      </c>
    </row>
    <row r="299" spans="1:7" x14ac:dyDescent="0.25">
      <c r="A299" s="55" t="s">
        <v>137</v>
      </c>
      <c r="B299" s="55">
        <v>90</v>
      </c>
      <c r="C299" s="71">
        <v>113</v>
      </c>
      <c r="D299" s="55" t="s">
        <v>61</v>
      </c>
      <c r="E299" s="55" t="s">
        <v>56</v>
      </c>
      <c r="F299" s="56" t="s">
        <v>457</v>
      </c>
      <c r="G299" s="57">
        <v>462736</v>
      </c>
    </row>
    <row r="300" spans="1:7" x14ac:dyDescent="0.25">
      <c r="A300" s="55" t="s">
        <v>137</v>
      </c>
      <c r="B300" s="55">
        <v>91</v>
      </c>
      <c r="C300" s="71">
        <v>114</v>
      </c>
      <c r="D300" s="55" t="s">
        <v>61</v>
      </c>
      <c r="E300" s="55" t="s">
        <v>56</v>
      </c>
      <c r="F300" s="56" t="s">
        <v>412</v>
      </c>
      <c r="G300" s="57">
        <v>462737</v>
      </c>
    </row>
    <row r="301" spans="1:7" x14ac:dyDescent="0.25">
      <c r="A301" s="55" t="s">
        <v>137</v>
      </c>
      <c r="B301" s="55">
        <v>92</v>
      </c>
      <c r="C301" s="71">
        <v>115</v>
      </c>
      <c r="D301" s="55" t="s">
        <v>61</v>
      </c>
      <c r="E301" s="55" t="s">
        <v>56</v>
      </c>
      <c r="F301" s="56" t="s">
        <v>414</v>
      </c>
      <c r="G301" s="57">
        <v>462738</v>
      </c>
    </row>
    <row r="302" spans="1:7" x14ac:dyDescent="0.25">
      <c r="A302" s="55" t="s">
        <v>137</v>
      </c>
      <c r="B302" s="55">
        <v>93</v>
      </c>
      <c r="C302" s="71">
        <v>116</v>
      </c>
      <c r="D302" s="55" t="s">
        <v>61</v>
      </c>
      <c r="E302" s="55" t="s">
        <v>56</v>
      </c>
      <c r="F302" s="56" t="s">
        <v>413</v>
      </c>
      <c r="G302" s="57">
        <v>462739</v>
      </c>
    </row>
    <row r="303" spans="1:7" x14ac:dyDescent="0.25">
      <c r="A303" s="55" t="s">
        <v>137</v>
      </c>
      <c r="B303" s="55">
        <v>94</v>
      </c>
      <c r="C303" s="71">
        <v>117</v>
      </c>
      <c r="D303" s="55" t="s">
        <v>61</v>
      </c>
      <c r="E303" s="55" t="s">
        <v>56</v>
      </c>
      <c r="F303" s="56" t="s">
        <v>415</v>
      </c>
      <c r="G303" s="57">
        <v>462740</v>
      </c>
    </row>
    <row r="304" spans="1:7" x14ac:dyDescent="0.25">
      <c r="A304" s="55" t="s">
        <v>137</v>
      </c>
      <c r="B304" s="55">
        <v>95</v>
      </c>
      <c r="C304" s="71">
        <v>118</v>
      </c>
      <c r="D304" s="55" t="s">
        <v>61</v>
      </c>
      <c r="E304" s="55" t="s">
        <v>56</v>
      </c>
      <c r="F304" s="56" t="s">
        <v>416</v>
      </c>
      <c r="G304" s="57">
        <v>462741</v>
      </c>
    </row>
    <row r="305" spans="1:7" x14ac:dyDescent="0.25">
      <c r="A305" s="55" t="s">
        <v>137</v>
      </c>
      <c r="B305" s="55">
        <v>96</v>
      </c>
      <c r="C305" s="71">
        <v>119</v>
      </c>
      <c r="D305" s="55" t="s">
        <v>61</v>
      </c>
      <c r="E305" s="55" t="s">
        <v>56</v>
      </c>
      <c r="F305" s="56" t="s">
        <v>417</v>
      </c>
      <c r="G305" s="57">
        <v>462742</v>
      </c>
    </row>
    <row r="306" spans="1:7" x14ac:dyDescent="0.25">
      <c r="A306" s="55" t="s">
        <v>137</v>
      </c>
      <c r="B306" s="55">
        <v>97</v>
      </c>
      <c r="C306" s="71">
        <v>120</v>
      </c>
      <c r="D306" s="55" t="s">
        <v>61</v>
      </c>
      <c r="E306" s="55" t="s">
        <v>56</v>
      </c>
      <c r="F306" s="56" t="s">
        <v>418</v>
      </c>
      <c r="G306" s="57">
        <v>462743</v>
      </c>
    </row>
    <row r="307" spans="1:7" x14ac:dyDescent="0.25">
      <c r="A307" s="55" t="s">
        <v>137</v>
      </c>
      <c r="B307" s="55">
        <v>98</v>
      </c>
      <c r="C307" s="71">
        <v>121</v>
      </c>
      <c r="D307" s="55" t="s">
        <v>61</v>
      </c>
      <c r="E307" s="55" t="s">
        <v>56</v>
      </c>
      <c r="F307" s="56" t="s">
        <v>419</v>
      </c>
      <c r="G307" s="57">
        <v>462744</v>
      </c>
    </row>
    <row r="308" spans="1:7" x14ac:dyDescent="0.25">
      <c r="A308" s="55" t="s">
        <v>137</v>
      </c>
      <c r="B308" s="55">
        <v>99</v>
      </c>
      <c r="C308" s="71">
        <v>122</v>
      </c>
      <c r="D308" s="55" t="s">
        <v>61</v>
      </c>
      <c r="E308" s="55" t="s">
        <v>56</v>
      </c>
      <c r="F308" s="56" t="s">
        <v>420</v>
      </c>
      <c r="G308" s="57">
        <v>462745</v>
      </c>
    </row>
    <row r="309" spans="1:7" x14ac:dyDescent="0.25">
      <c r="A309" s="55" t="s">
        <v>137</v>
      </c>
      <c r="B309" s="55">
        <v>100</v>
      </c>
      <c r="C309" s="71">
        <v>123</v>
      </c>
      <c r="D309" s="55" t="s">
        <v>61</v>
      </c>
      <c r="E309" s="55" t="s">
        <v>56</v>
      </c>
      <c r="F309" s="56" t="s">
        <v>421</v>
      </c>
      <c r="G309" s="57">
        <v>462746</v>
      </c>
    </row>
    <row r="310" spans="1:7" x14ac:dyDescent="0.25">
      <c r="A310" s="55" t="s">
        <v>137</v>
      </c>
      <c r="B310" s="55">
        <v>101</v>
      </c>
      <c r="C310" s="71">
        <v>124</v>
      </c>
      <c r="D310" s="55" t="s">
        <v>61</v>
      </c>
      <c r="E310" s="55" t="s">
        <v>56</v>
      </c>
      <c r="F310" s="56" t="s">
        <v>422</v>
      </c>
      <c r="G310" s="57">
        <v>462747</v>
      </c>
    </row>
    <row r="311" spans="1:7" x14ac:dyDescent="0.25">
      <c r="A311" s="55" t="s">
        <v>137</v>
      </c>
      <c r="B311" s="55">
        <v>102</v>
      </c>
      <c r="C311" s="71">
        <v>125</v>
      </c>
      <c r="D311" s="55" t="s">
        <v>61</v>
      </c>
      <c r="E311" s="55" t="s">
        <v>56</v>
      </c>
      <c r="F311" s="56" t="s">
        <v>423</v>
      </c>
      <c r="G311" s="57">
        <v>462748</v>
      </c>
    </row>
    <row r="312" spans="1:7" x14ac:dyDescent="0.25">
      <c r="A312" s="55" t="s">
        <v>137</v>
      </c>
      <c r="B312" s="55">
        <v>103</v>
      </c>
      <c r="C312" s="71">
        <v>126</v>
      </c>
      <c r="D312" s="55" t="s">
        <v>61</v>
      </c>
      <c r="E312" s="55" t="s">
        <v>56</v>
      </c>
      <c r="F312" s="56" t="s">
        <v>425</v>
      </c>
      <c r="G312" s="57">
        <v>462749</v>
      </c>
    </row>
    <row r="313" spans="1:7" x14ac:dyDescent="0.25">
      <c r="A313" s="55" t="s">
        <v>137</v>
      </c>
      <c r="B313" s="55">
        <v>104</v>
      </c>
      <c r="C313" s="71">
        <v>127</v>
      </c>
      <c r="D313" s="55" t="s">
        <v>61</v>
      </c>
      <c r="E313" s="55" t="s">
        <v>56</v>
      </c>
      <c r="F313" s="56" t="s">
        <v>424</v>
      </c>
      <c r="G313" s="57">
        <v>462750</v>
      </c>
    </row>
    <row r="314" spans="1:7" x14ac:dyDescent="0.25">
      <c r="A314" s="55" t="s">
        <v>137</v>
      </c>
      <c r="B314" s="55">
        <v>105</v>
      </c>
      <c r="C314" s="71">
        <v>128</v>
      </c>
      <c r="D314" s="55" t="s">
        <v>61</v>
      </c>
      <c r="E314" s="55" t="s">
        <v>56</v>
      </c>
      <c r="F314" s="56" t="s">
        <v>426</v>
      </c>
      <c r="G314" s="57">
        <v>463051</v>
      </c>
    </row>
    <row r="315" spans="1:7" x14ac:dyDescent="0.25">
      <c r="A315" s="55" t="s">
        <v>137</v>
      </c>
      <c r="B315" s="55">
        <v>106</v>
      </c>
      <c r="C315" s="71">
        <v>129</v>
      </c>
      <c r="D315" s="55" t="s">
        <v>61</v>
      </c>
      <c r="E315" s="55" t="s">
        <v>56</v>
      </c>
      <c r="F315" s="56" t="s">
        <v>428</v>
      </c>
      <c r="G315" s="57">
        <v>463052</v>
      </c>
    </row>
    <row r="316" spans="1:7" x14ac:dyDescent="0.25">
      <c r="A316" s="55" t="s">
        <v>137</v>
      </c>
      <c r="B316" s="55">
        <v>107</v>
      </c>
      <c r="C316" s="71">
        <v>130</v>
      </c>
      <c r="D316" s="55" t="s">
        <v>61</v>
      </c>
      <c r="E316" s="55" t="s">
        <v>56</v>
      </c>
      <c r="F316" s="56" t="s">
        <v>411</v>
      </c>
      <c r="G316" s="57">
        <v>463053</v>
      </c>
    </row>
    <row r="317" spans="1:7" x14ac:dyDescent="0.25">
      <c r="A317" s="55" t="s">
        <v>137</v>
      </c>
      <c r="B317" s="55">
        <v>108</v>
      </c>
      <c r="C317" s="71">
        <v>131</v>
      </c>
      <c r="D317" s="55" t="s">
        <v>61</v>
      </c>
      <c r="E317" s="55" t="s">
        <v>56</v>
      </c>
      <c r="F317" s="56" t="s">
        <v>427</v>
      </c>
      <c r="G317" s="57">
        <v>463054</v>
      </c>
    </row>
    <row r="318" spans="1:7" x14ac:dyDescent="0.25">
      <c r="A318" s="55" t="s">
        <v>137</v>
      </c>
      <c r="B318" s="55">
        <v>109</v>
      </c>
      <c r="C318" s="71">
        <v>132</v>
      </c>
      <c r="D318" s="55" t="s">
        <v>61</v>
      </c>
      <c r="E318" s="55" t="s">
        <v>56</v>
      </c>
      <c r="F318" s="56" t="s">
        <v>429</v>
      </c>
      <c r="G318" s="57">
        <v>463055</v>
      </c>
    </row>
    <row r="319" spans="1:7" x14ac:dyDescent="0.25">
      <c r="A319" s="55" t="s">
        <v>137</v>
      </c>
      <c r="B319" s="55">
        <v>110</v>
      </c>
      <c r="C319" s="71">
        <v>133</v>
      </c>
      <c r="D319" s="55" t="s">
        <v>61</v>
      </c>
      <c r="E319" s="55" t="s">
        <v>56</v>
      </c>
      <c r="F319" s="56" t="s">
        <v>430</v>
      </c>
      <c r="G319" s="57">
        <v>463056</v>
      </c>
    </row>
    <row r="320" spans="1:7" ht="15" customHeight="1" x14ac:dyDescent="0.25">
      <c r="A320" s="91" t="s">
        <v>145</v>
      </c>
      <c r="B320" s="92"/>
      <c r="C320" s="92"/>
      <c r="D320" s="92"/>
      <c r="E320" s="92"/>
      <c r="F320" s="92"/>
      <c r="G320" s="93"/>
    </row>
    <row r="321" spans="1:7" x14ac:dyDescent="0.25">
      <c r="A321" s="54"/>
      <c r="B321" s="54"/>
      <c r="C321" s="54"/>
      <c r="D321" s="54"/>
      <c r="E321" s="54"/>
      <c r="F321" s="54"/>
    </row>
    <row r="322" spans="1:7" x14ac:dyDescent="0.25">
      <c r="A322" s="61"/>
      <c r="B322" s="61"/>
      <c r="C322" s="61"/>
      <c r="D322" s="61"/>
      <c r="E322" s="61"/>
      <c r="F322" s="61"/>
    </row>
    <row r="323" spans="1:7" ht="19.5" customHeight="1" x14ac:dyDescent="0.25">
      <c r="A323" s="85" t="s">
        <v>138</v>
      </c>
      <c r="B323" s="86"/>
      <c r="C323" s="86"/>
      <c r="D323" s="86"/>
      <c r="E323" s="86"/>
      <c r="F323" s="86"/>
      <c r="G323" s="87"/>
    </row>
    <row r="324" spans="1:7" ht="15.75" customHeight="1" x14ac:dyDescent="0.25">
      <c r="A324" s="88" t="s">
        <v>497</v>
      </c>
      <c r="B324" s="89"/>
      <c r="C324" s="89"/>
      <c r="D324" s="89"/>
      <c r="E324" s="89"/>
      <c r="F324" s="89"/>
      <c r="G324" s="90"/>
    </row>
    <row r="325" spans="1:7" x14ac:dyDescent="0.25">
      <c r="A325" s="48" t="s">
        <v>52</v>
      </c>
      <c r="B325" s="48" t="s">
        <v>53</v>
      </c>
      <c r="C325" s="48"/>
      <c r="D325" s="48" t="s">
        <v>54</v>
      </c>
      <c r="E325" s="48" t="s">
        <v>55</v>
      </c>
      <c r="F325" s="48" t="s">
        <v>146</v>
      </c>
      <c r="G325" s="57" t="s">
        <v>577</v>
      </c>
    </row>
    <row r="326" spans="1:7" x14ac:dyDescent="0.25">
      <c r="A326" s="50" t="s">
        <v>136</v>
      </c>
      <c r="B326" s="50">
        <v>1</v>
      </c>
      <c r="C326" s="72" t="s">
        <v>499</v>
      </c>
      <c r="D326" s="50" t="s">
        <v>41</v>
      </c>
      <c r="E326" s="50" t="s">
        <v>56</v>
      </c>
      <c r="F326" s="53" t="s">
        <v>431</v>
      </c>
      <c r="G326" s="57">
        <v>463057</v>
      </c>
    </row>
    <row r="327" spans="1:7" x14ac:dyDescent="0.25">
      <c r="A327" s="50" t="s">
        <v>136</v>
      </c>
      <c r="B327" s="50">
        <v>2</v>
      </c>
      <c r="C327" s="72" t="s">
        <v>500</v>
      </c>
      <c r="D327" s="50" t="s">
        <v>41</v>
      </c>
      <c r="E327" s="50" t="s">
        <v>56</v>
      </c>
      <c r="F327" s="53" t="s">
        <v>432</v>
      </c>
      <c r="G327" s="57">
        <v>463058</v>
      </c>
    </row>
    <row r="328" spans="1:7" x14ac:dyDescent="0.25">
      <c r="A328" s="50" t="s">
        <v>136</v>
      </c>
      <c r="B328" s="50">
        <v>3</v>
      </c>
      <c r="C328" s="72" t="s">
        <v>501</v>
      </c>
      <c r="D328" s="50" t="s">
        <v>41</v>
      </c>
      <c r="E328" s="50" t="s">
        <v>56</v>
      </c>
      <c r="F328" s="53" t="s">
        <v>433</v>
      </c>
      <c r="G328" s="57">
        <v>463059</v>
      </c>
    </row>
    <row r="329" spans="1:7" x14ac:dyDescent="0.25">
      <c r="A329" s="50" t="s">
        <v>136</v>
      </c>
      <c r="B329" s="50">
        <v>4</v>
      </c>
      <c r="C329" s="72" t="s">
        <v>502</v>
      </c>
      <c r="D329" s="50" t="s">
        <v>41</v>
      </c>
      <c r="E329" s="50" t="s">
        <v>56</v>
      </c>
      <c r="F329" s="53" t="s">
        <v>434</v>
      </c>
      <c r="G329" s="57">
        <v>463060</v>
      </c>
    </row>
    <row r="330" spans="1:7" x14ac:dyDescent="0.25">
      <c r="A330" s="50" t="s">
        <v>136</v>
      </c>
      <c r="B330" s="50">
        <v>5</v>
      </c>
      <c r="C330" s="72" t="s">
        <v>503</v>
      </c>
      <c r="D330" s="50" t="s">
        <v>41</v>
      </c>
      <c r="E330" s="50" t="s">
        <v>56</v>
      </c>
      <c r="F330" s="53" t="s">
        <v>435</v>
      </c>
      <c r="G330" s="57">
        <v>463061</v>
      </c>
    </row>
    <row r="331" spans="1:7" x14ac:dyDescent="0.25">
      <c r="A331" s="50" t="s">
        <v>136</v>
      </c>
      <c r="B331" s="50">
        <v>6</v>
      </c>
      <c r="C331" s="72" t="s">
        <v>504</v>
      </c>
      <c r="D331" s="50" t="s">
        <v>41</v>
      </c>
      <c r="E331" s="50" t="s">
        <v>56</v>
      </c>
      <c r="F331" s="53" t="s">
        <v>436</v>
      </c>
      <c r="G331" s="57">
        <v>463062</v>
      </c>
    </row>
    <row r="332" spans="1:7" x14ac:dyDescent="0.25">
      <c r="A332" s="50" t="s">
        <v>136</v>
      </c>
      <c r="B332" s="50">
        <v>7</v>
      </c>
      <c r="C332" s="72" t="s">
        <v>505</v>
      </c>
      <c r="D332" s="50" t="s">
        <v>41</v>
      </c>
      <c r="E332" s="50" t="s">
        <v>56</v>
      </c>
      <c r="F332" s="53" t="s">
        <v>437</v>
      </c>
      <c r="G332" s="57">
        <v>463063</v>
      </c>
    </row>
    <row r="333" spans="1:7" x14ac:dyDescent="0.25">
      <c r="A333" s="50" t="s">
        <v>136</v>
      </c>
      <c r="B333" s="50">
        <v>8</v>
      </c>
      <c r="C333" s="72" t="s">
        <v>506</v>
      </c>
      <c r="D333" s="50" t="s">
        <v>41</v>
      </c>
      <c r="E333" s="50" t="s">
        <v>56</v>
      </c>
      <c r="F333" s="53" t="s">
        <v>438</v>
      </c>
      <c r="G333" s="57">
        <v>463064</v>
      </c>
    </row>
    <row r="334" spans="1:7" x14ac:dyDescent="0.25">
      <c r="A334" s="50" t="s">
        <v>136</v>
      </c>
      <c r="B334" s="50">
        <v>9</v>
      </c>
      <c r="C334" s="72" t="s">
        <v>507</v>
      </c>
      <c r="D334" s="50" t="s">
        <v>41</v>
      </c>
      <c r="E334" s="50" t="s">
        <v>56</v>
      </c>
      <c r="F334" s="53" t="s">
        <v>439</v>
      </c>
      <c r="G334" s="57">
        <v>463065</v>
      </c>
    </row>
    <row r="335" spans="1:7" x14ac:dyDescent="0.25">
      <c r="A335" s="50" t="s">
        <v>136</v>
      </c>
      <c r="B335" s="50">
        <v>10</v>
      </c>
      <c r="C335" s="72" t="s">
        <v>508</v>
      </c>
      <c r="D335" s="50" t="s">
        <v>41</v>
      </c>
      <c r="E335" s="50" t="s">
        <v>56</v>
      </c>
      <c r="F335" s="53" t="s">
        <v>440</v>
      </c>
      <c r="G335" s="57">
        <v>463066</v>
      </c>
    </row>
    <row r="336" spans="1:7" x14ac:dyDescent="0.25">
      <c r="A336" s="50" t="s">
        <v>136</v>
      </c>
      <c r="B336" s="50">
        <v>11</v>
      </c>
      <c r="C336" s="69">
        <v>1</v>
      </c>
      <c r="D336" s="50" t="s">
        <v>61</v>
      </c>
      <c r="E336" s="50" t="s">
        <v>56</v>
      </c>
      <c r="F336" s="53" t="s">
        <v>441</v>
      </c>
      <c r="G336" s="57">
        <v>463067</v>
      </c>
    </row>
    <row r="337" spans="1:7" x14ac:dyDescent="0.25">
      <c r="A337" s="50" t="s">
        <v>136</v>
      </c>
      <c r="B337" s="50">
        <v>12</v>
      </c>
      <c r="C337" s="69">
        <v>2</v>
      </c>
      <c r="D337" s="50" t="s">
        <v>61</v>
      </c>
      <c r="E337" s="50" t="s">
        <v>56</v>
      </c>
      <c r="F337" s="53" t="s">
        <v>442</v>
      </c>
      <c r="G337" s="57">
        <v>463068</v>
      </c>
    </row>
    <row r="338" spans="1:7" x14ac:dyDescent="0.25">
      <c r="A338" s="50" t="s">
        <v>136</v>
      </c>
      <c r="B338" s="50">
        <v>13</v>
      </c>
      <c r="C338" s="69">
        <v>3</v>
      </c>
      <c r="D338" s="50" t="s">
        <v>61</v>
      </c>
      <c r="E338" s="50" t="s">
        <v>56</v>
      </c>
      <c r="F338" s="53" t="s">
        <v>443</v>
      </c>
      <c r="G338" s="57">
        <v>463069</v>
      </c>
    </row>
    <row r="339" spans="1:7" x14ac:dyDescent="0.25">
      <c r="A339" s="50" t="s">
        <v>136</v>
      </c>
      <c r="B339" s="50">
        <v>14</v>
      </c>
      <c r="C339" s="69">
        <v>4</v>
      </c>
      <c r="D339" s="50" t="s">
        <v>61</v>
      </c>
      <c r="E339" s="50" t="s">
        <v>56</v>
      </c>
      <c r="F339" s="53" t="s">
        <v>444</v>
      </c>
      <c r="G339" s="57">
        <v>463070</v>
      </c>
    </row>
    <row r="340" spans="1:7" x14ac:dyDescent="0.25">
      <c r="A340" s="50" t="s">
        <v>136</v>
      </c>
      <c r="B340" s="50">
        <v>15</v>
      </c>
      <c r="C340" s="69">
        <v>5</v>
      </c>
      <c r="D340" s="50" t="s">
        <v>61</v>
      </c>
      <c r="E340" s="50" t="s">
        <v>56</v>
      </c>
      <c r="F340" s="53" t="s">
        <v>445</v>
      </c>
      <c r="G340" s="57">
        <v>463071</v>
      </c>
    </row>
    <row r="341" spans="1:7" x14ac:dyDescent="0.25">
      <c r="A341" s="50" t="s">
        <v>136</v>
      </c>
      <c r="B341" s="50">
        <v>16</v>
      </c>
      <c r="C341" s="69">
        <v>6</v>
      </c>
      <c r="D341" s="50" t="s">
        <v>61</v>
      </c>
      <c r="E341" s="50" t="s">
        <v>56</v>
      </c>
      <c r="F341" s="53" t="s">
        <v>446</v>
      </c>
      <c r="G341" s="57">
        <v>463072</v>
      </c>
    </row>
    <row r="342" spans="1:7" x14ac:dyDescent="0.25">
      <c r="A342" s="50" t="s">
        <v>136</v>
      </c>
      <c r="B342" s="50">
        <v>17</v>
      </c>
      <c r="C342" s="69">
        <v>7</v>
      </c>
      <c r="D342" s="50" t="s">
        <v>61</v>
      </c>
      <c r="E342" s="50" t="s">
        <v>56</v>
      </c>
      <c r="F342" s="53" t="s">
        <v>447</v>
      </c>
      <c r="G342" s="57">
        <v>463073</v>
      </c>
    </row>
    <row r="343" spans="1:7" x14ac:dyDescent="0.25">
      <c r="A343" s="50" t="s">
        <v>136</v>
      </c>
      <c r="B343" s="50">
        <v>18</v>
      </c>
      <c r="C343" s="69">
        <v>8</v>
      </c>
      <c r="D343" s="50" t="s">
        <v>61</v>
      </c>
      <c r="E343" s="50" t="s">
        <v>56</v>
      </c>
      <c r="F343" s="53" t="s">
        <v>449</v>
      </c>
      <c r="G343" s="57">
        <v>463074</v>
      </c>
    </row>
    <row r="344" spans="1:7" x14ac:dyDescent="0.25">
      <c r="A344" s="50" t="s">
        <v>136</v>
      </c>
      <c r="B344" s="50">
        <v>19</v>
      </c>
      <c r="C344" s="69">
        <v>9</v>
      </c>
      <c r="D344" s="50" t="s">
        <v>61</v>
      </c>
      <c r="E344" s="50" t="s">
        <v>56</v>
      </c>
      <c r="F344" s="53" t="s">
        <v>448</v>
      </c>
      <c r="G344" s="57">
        <v>463075</v>
      </c>
    </row>
    <row r="345" spans="1:7" x14ac:dyDescent="0.25">
      <c r="A345" s="50" t="s">
        <v>136</v>
      </c>
      <c r="B345" s="50">
        <v>20</v>
      </c>
      <c r="C345" s="69">
        <v>10</v>
      </c>
      <c r="D345" s="50" t="s">
        <v>61</v>
      </c>
      <c r="E345" s="50" t="s">
        <v>56</v>
      </c>
      <c r="F345" s="53" t="s">
        <v>450</v>
      </c>
      <c r="G345" s="57">
        <v>463076</v>
      </c>
    </row>
    <row r="346" spans="1:7" ht="25.5" customHeight="1" x14ac:dyDescent="0.25">
      <c r="A346" s="91" t="s">
        <v>139</v>
      </c>
      <c r="B346" s="92"/>
      <c r="C346" s="92"/>
      <c r="D346" s="92"/>
      <c r="E346" s="92"/>
      <c r="F346" s="92"/>
      <c r="G346" s="93"/>
    </row>
    <row r="347" spans="1:7" ht="25.5" customHeight="1" x14ac:dyDescent="0.25">
      <c r="A347" s="65"/>
      <c r="B347" s="66"/>
      <c r="C347" s="66"/>
      <c r="D347" s="66"/>
      <c r="E347" s="66"/>
      <c r="F347" s="66"/>
      <c r="G347" s="66"/>
    </row>
    <row r="348" spans="1:7" ht="25.5" customHeight="1" x14ac:dyDescent="0.25">
      <c r="A348" s="85" t="s">
        <v>138</v>
      </c>
      <c r="B348" s="86"/>
      <c r="C348" s="86"/>
      <c r="D348" s="86"/>
      <c r="E348" s="86"/>
      <c r="F348" s="86"/>
      <c r="G348" s="87"/>
    </row>
    <row r="349" spans="1:7" ht="18.75" x14ac:dyDescent="0.25">
      <c r="A349" s="88" t="s">
        <v>497</v>
      </c>
      <c r="B349" s="89"/>
      <c r="C349" s="89"/>
      <c r="D349" s="89"/>
      <c r="E349" s="89"/>
      <c r="F349" s="89"/>
      <c r="G349" s="90"/>
    </row>
    <row r="350" spans="1:7" x14ac:dyDescent="0.25">
      <c r="A350" s="53" t="s">
        <v>131</v>
      </c>
      <c r="B350" s="53"/>
      <c r="C350" s="53"/>
      <c r="D350" s="53" t="s">
        <v>41</v>
      </c>
      <c r="E350" s="53" t="s">
        <v>458</v>
      </c>
      <c r="F350" s="53" t="s">
        <v>460</v>
      </c>
      <c r="G350" s="57">
        <v>463077</v>
      </c>
    </row>
    <row r="351" spans="1:7" x14ac:dyDescent="0.25">
      <c r="A351" s="53" t="s">
        <v>131</v>
      </c>
      <c r="B351" s="53"/>
      <c r="C351" s="53"/>
      <c r="D351" s="53" t="s">
        <v>41</v>
      </c>
      <c r="E351" s="53" t="s">
        <v>459</v>
      </c>
      <c r="F351" s="53" t="s">
        <v>461</v>
      </c>
      <c r="G351" s="57">
        <v>463078</v>
      </c>
    </row>
    <row r="352" spans="1:7" x14ac:dyDescent="0.25">
      <c r="A352" s="53" t="s">
        <v>131</v>
      </c>
      <c r="B352" s="53"/>
      <c r="C352" s="53"/>
      <c r="D352" s="53" t="s">
        <v>61</v>
      </c>
      <c r="E352" s="53" t="s">
        <v>458</v>
      </c>
      <c r="F352" s="53" t="s">
        <v>462</v>
      </c>
      <c r="G352" s="57">
        <v>463079</v>
      </c>
    </row>
    <row r="353" spans="1:8" x14ac:dyDescent="0.25">
      <c r="A353" s="53" t="s">
        <v>131</v>
      </c>
      <c r="B353" s="53"/>
      <c r="C353" s="53"/>
      <c r="D353" s="53" t="s">
        <v>61</v>
      </c>
      <c r="E353" s="53" t="s">
        <v>459</v>
      </c>
      <c r="F353" s="53" t="s">
        <v>463</v>
      </c>
      <c r="G353" s="57">
        <v>463080</v>
      </c>
    </row>
    <row r="354" spans="1:8" x14ac:dyDescent="0.25">
      <c r="A354" s="53" t="s">
        <v>131</v>
      </c>
      <c r="B354" s="53"/>
      <c r="C354" s="53"/>
      <c r="D354" s="53" t="s">
        <v>464</v>
      </c>
      <c r="E354" s="53" t="s">
        <v>465</v>
      </c>
      <c r="F354" s="53" t="s">
        <v>466</v>
      </c>
      <c r="G354" s="57">
        <v>463081</v>
      </c>
    </row>
    <row r="355" spans="1:8" x14ac:dyDescent="0.25">
      <c r="A355" s="53" t="s">
        <v>131</v>
      </c>
      <c r="B355" s="53"/>
      <c r="C355" s="53"/>
      <c r="D355" s="53" t="s">
        <v>467</v>
      </c>
      <c r="E355" s="53" t="s">
        <v>468</v>
      </c>
      <c r="F355" s="53" t="s">
        <v>492</v>
      </c>
      <c r="G355" s="57">
        <v>463082</v>
      </c>
    </row>
    <row r="356" spans="1:8" x14ac:dyDescent="0.25">
      <c r="A356" s="53" t="s">
        <v>132</v>
      </c>
      <c r="B356" s="53"/>
      <c r="C356" s="53"/>
      <c r="D356" s="53" t="s">
        <v>41</v>
      </c>
      <c r="E356" s="53" t="s">
        <v>468</v>
      </c>
      <c r="F356" s="53" t="s">
        <v>469</v>
      </c>
      <c r="G356" s="57">
        <v>463083</v>
      </c>
    </row>
    <row r="357" spans="1:8" x14ac:dyDescent="0.25">
      <c r="A357" s="53" t="s">
        <v>132</v>
      </c>
      <c r="B357" s="53"/>
      <c r="C357" s="53"/>
      <c r="D357" s="53" t="s">
        <v>61</v>
      </c>
      <c r="E357" s="53" t="s">
        <v>468</v>
      </c>
      <c r="F357" s="53" t="s">
        <v>470</v>
      </c>
      <c r="G357" s="57">
        <v>463084</v>
      </c>
    </row>
    <row r="358" spans="1:8" x14ac:dyDescent="0.25">
      <c r="A358" s="53" t="s">
        <v>132</v>
      </c>
      <c r="B358" s="53"/>
      <c r="C358" s="53"/>
      <c r="D358" s="53" t="s">
        <v>464</v>
      </c>
      <c r="E358" s="53" t="s">
        <v>468</v>
      </c>
      <c r="F358" s="53" t="s">
        <v>471</v>
      </c>
      <c r="G358" s="57">
        <v>463085</v>
      </c>
    </row>
    <row r="359" spans="1:8" x14ac:dyDescent="0.25">
      <c r="A359" s="53" t="s">
        <v>132</v>
      </c>
      <c r="B359" s="53"/>
      <c r="C359" s="53"/>
      <c r="D359" s="53" t="s">
        <v>467</v>
      </c>
      <c r="E359" s="53" t="s">
        <v>468</v>
      </c>
      <c r="F359" s="53" t="s">
        <v>472</v>
      </c>
      <c r="G359" s="57">
        <v>463086</v>
      </c>
    </row>
    <row r="360" spans="1:8" x14ac:dyDescent="0.25">
      <c r="A360" s="53" t="s">
        <v>132</v>
      </c>
      <c r="B360" s="53"/>
      <c r="C360" s="53"/>
      <c r="D360" s="53" t="s">
        <v>41</v>
      </c>
      <c r="E360" s="53" t="s">
        <v>473</v>
      </c>
      <c r="F360" s="53" t="s">
        <v>474</v>
      </c>
      <c r="G360" s="57">
        <v>463087</v>
      </c>
    </row>
    <row r="361" spans="1:8" x14ac:dyDescent="0.25">
      <c r="A361" s="53" t="s">
        <v>132</v>
      </c>
      <c r="B361" s="53"/>
      <c r="C361" s="53"/>
      <c r="D361" s="53" t="s">
        <v>61</v>
      </c>
      <c r="E361" s="53" t="s">
        <v>473</v>
      </c>
      <c r="F361" s="53" t="s">
        <v>475</v>
      </c>
      <c r="G361" s="57">
        <v>463088</v>
      </c>
    </row>
    <row r="362" spans="1:8" x14ac:dyDescent="0.25">
      <c r="A362" s="53" t="s">
        <v>137</v>
      </c>
      <c r="B362" s="53"/>
      <c r="C362" s="53"/>
      <c r="D362" s="53" t="s">
        <v>41</v>
      </c>
      <c r="E362" s="53" t="s">
        <v>473</v>
      </c>
      <c r="F362" s="53" t="s">
        <v>493</v>
      </c>
      <c r="G362" s="57">
        <v>463089</v>
      </c>
    </row>
    <row r="363" spans="1:8" x14ac:dyDescent="0.25">
      <c r="A363" s="53" t="s">
        <v>137</v>
      </c>
      <c r="B363" s="53"/>
      <c r="C363" s="53"/>
      <c r="D363" s="53" t="s">
        <v>476</v>
      </c>
      <c r="E363" s="53" t="s">
        <v>482</v>
      </c>
      <c r="F363" s="53" t="s">
        <v>477</v>
      </c>
      <c r="G363" s="57">
        <v>463090</v>
      </c>
    </row>
    <row r="364" spans="1:8" x14ac:dyDescent="0.25">
      <c r="A364" s="53" t="s">
        <v>137</v>
      </c>
      <c r="B364" s="53"/>
      <c r="C364" s="53"/>
      <c r="D364" s="53" t="s">
        <v>476</v>
      </c>
      <c r="E364" s="53" t="s">
        <v>478</v>
      </c>
      <c r="F364" s="53" t="s">
        <v>479</v>
      </c>
      <c r="G364" s="57">
        <v>463091</v>
      </c>
    </row>
    <row r="365" spans="1:8" x14ac:dyDescent="0.25">
      <c r="A365" s="53" t="s">
        <v>137</v>
      </c>
      <c r="B365" s="53"/>
      <c r="C365" s="53"/>
      <c r="D365" s="53" t="s">
        <v>476</v>
      </c>
      <c r="E365" s="53" t="s">
        <v>480</v>
      </c>
      <c r="F365" s="53" t="s">
        <v>481</v>
      </c>
      <c r="G365" s="57">
        <v>463092</v>
      </c>
    </row>
    <row r="366" spans="1:8" x14ac:dyDescent="0.25">
      <c r="A366" s="53" t="s">
        <v>131</v>
      </c>
      <c r="B366" s="53"/>
      <c r="C366" s="53"/>
      <c r="D366" s="53" t="s">
        <v>476</v>
      </c>
      <c r="E366" s="53" t="s">
        <v>482</v>
      </c>
      <c r="F366" s="53" t="s">
        <v>483</v>
      </c>
      <c r="G366" s="57">
        <v>463093</v>
      </c>
    </row>
    <row r="367" spans="1:8" x14ac:dyDescent="0.25">
      <c r="A367" s="62"/>
      <c r="B367" s="62"/>
      <c r="C367" s="62"/>
      <c r="D367" s="62"/>
      <c r="E367" s="62"/>
      <c r="F367" s="62"/>
      <c r="G367" s="63"/>
      <c r="H367" s="47"/>
    </row>
    <row r="368" spans="1:8" x14ac:dyDescent="0.25">
      <c r="A368" s="62"/>
      <c r="B368" s="62"/>
      <c r="C368" s="62"/>
      <c r="D368" s="62"/>
      <c r="E368" s="62"/>
      <c r="F368" s="62"/>
      <c r="G368" s="63"/>
      <c r="H368" s="47"/>
    </row>
    <row r="369" spans="1:8" x14ac:dyDescent="0.25">
      <c r="A369" s="62"/>
      <c r="B369" s="62"/>
      <c r="C369" s="62"/>
      <c r="D369" s="62"/>
      <c r="E369" s="62"/>
      <c r="F369" s="62"/>
      <c r="G369" s="63"/>
      <c r="H369" s="47"/>
    </row>
    <row r="370" spans="1:8" x14ac:dyDescent="0.25">
      <c r="A370" s="62"/>
      <c r="B370" s="62"/>
      <c r="C370" s="62"/>
      <c r="D370" s="62"/>
      <c r="E370" s="62"/>
      <c r="F370" s="62"/>
      <c r="G370" s="63"/>
      <c r="H370" s="47"/>
    </row>
    <row r="371" spans="1:8" x14ac:dyDescent="0.25">
      <c r="A371" s="62"/>
      <c r="B371" s="62"/>
      <c r="C371" s="62"/>
      <c r="D371" s="62"/>
      <c r="E371" s="62"/>
      <c r="F371" s="62"/>
      <c r="G371" s="63"/>
      <c r="H371" s="47"/>
    </row>
    <row r="372" spans="1:8" x14ac:dyDescent="0.25">
      <c r="A372" s="62"/>
      <c r="B372" s="62"/>
      <c r="C372" s="62"/>
      <c r="D372" s="62"/>
      <c r="E372" s="62"/>
      <c r="F372" s="62"/>
      <c r="G372" s="63"/>
      <c r="H372" s="47"/>
    </row>
    <row r="373" spans="1:8" x14ac:dyDescent="0.25">
      <c r="A373" s="62"/>
      <c r="B373" s="62"/>
      <c r="C373" s="62"/>
      <c r="D373" s="62"/>
      <c r="E373" s="62"/>
      <c r="F373" s="62"/>
      <c r="G373" s="63"/>
      <c r="H373" s="47"/>
    </row>
    <row r="374" spans="1:8" x14ac:dyDescent="0.25">
      <c r="A374" s="62"/>
      <c r="B374" s="62"/>
      <c r="C374" s="62"/>
      <c r="D374" s="62"/>
      <c r="E374" s="62"/>
      <c r="F374" s="62"/>
      <c r="G374" s="63"/>
      <c r="H374" s="47"/>
    </row>
    <row r="375" spans="1:8" x14ac:dyDescent="0.25">
      <c r="A375" s="62"/>
      <c r="B375" s="62"/>
      <c r="C375" s="62"/>
      <c r="D375" s="62"/>
      <c r="E375" s="62"/>
      <c r="F375" s="62"/>
      <c r="G375" s="63"/>
      <c r="H375" s="47"/>
    </row>
    <row r="376" spans="1:8" x14ac:dyDescent="0.25">
      <c r="A376" s="62"/>
      <c r="B376" s="62"/>
      <c r="C376" s="62"/>
      <c r="D376" s="62"/>
      <c r="E376" s="62"/>
      <c r="F376" s="62"/>
      <c r="G376" s="63"/>
      <c r="H376" s="47"/>
    </row>
    <row r="377" spans="1:8" x14ac:dyDescent="0.25">
      <c r="A377" s="62"/>
      <c r="B377" s="62"/>
      <c r="C377" s="62"/>
      <c r="D377" s="62"/>
      <c r="E377" s="62"/>
      <c r="F377" s="62"/>
      <c r="G377" s="63"/>
      <c r="H377" s="47"/>
    </row>
    <row r="378" spans="1:8" x14ac:dyDescent="0.25">
      <c r="A378" s="62"/>
      <c r="B378" s="62"/>
      <c r="C378" s="62"/>
      <c r="D378" s="62"/>
      <c r="E378" s="62"/>
      <c r="F378" s="62"/>
      <c r="G378" s="63"/>
      <c r="H378" s="47"/>
    </row>
    <row r="379" spans="1:8" x14ac:dyDescent="0.25">
      <c r="A379" s="62"/>
      <c r="B379" s="62"/>
      <c r="C379" s="62"/>
      <c r="D379" s="62"/>
      <c r="E379" s="62"/>
      <c r="F379" s="62"/>
      <c r="G379" s="63"/>
      <c r="H379" s="47"/>
    </row>
    <row r="380" spans="1:8" x14ac:dyDescent="0.25">
      <c r="A380" s="62"/>
      <c r="B380" s="62"/>
      <c r="C380" s="62"/>
      <c r="D380" s="62"/>
      <c r="E380" s="62"/>
      <c r="F380" s="62"/>
      <c r="G380" s="63"/>
      <c r="H380" s="47"/>
    </row>
    <row r="381" spans="1:8" x14ac:dyDescent="0.25">
      <c r="A381" s="62"/>
      <c r="B381" s="62"/>
      <c r="C381" s="62"/>
      <c r="D381" s="62"/>
      <c r="E381" s="62"/>
      <c r="F381" s="62"/>
      <c r="G381" s="63"/>
      <c r="H381" s="47"/>
    </row>
    <row r="382" spans="1:8" x14ac:dyDescent="0.25">
      <c r="A382" s="62"/>
      <c r="B382" s="62"/>
      <c r="C382" s="62"/>
      <c r="D382" s="62"/>
      <c r="E382" s="62"/>
      <c r="F382" s="62"/>
      <c r="G382" s="63"/>
      <c r="H382" s="47"/>
    </row>
    <row r="383" spans="1:8" x14ac:dyDescent="0.25">
      <c r="A383" s="62"/>
      <c r="B383" s="62"/>
      <c r="C383" s="62"/>
      <c r="D383" s="62"/>
      <c r="E383" s="62"/>
      <c r="F383" s="62"/>
      <c r="G383" s="63"/>
      <c r="H383" s="47"/>
    </row>
    <row r="384" spans="1:8" x14ac:dyDescent="0.25">
      <c r="A384" s="62"/>
      <c r="B384" s="62"/>
      <c r="C384" s="62"/>
      <c r="D384" s="62"/>
      <c r="E384" s="62"/>
      <c r="F384" s="62"/>
      <c r="G384" s="63"/>
      <c r="H384" s="47"/>
    </row>
    <row r="385" spans="1:8" x14ac:dyDescent="0.25">
      <c r="A385" s="62"/>
      <c r="B385" s="62"/>
      <c r="C385" s="62"/>
      <c r="D385" s="62"/>
      <c r="E385" s="62"/>
      <c r="F385" s="62"/>
      <c r="G385" s="63"/>
      <c r="H385" s="47"/>
    </row>
    <row r="386" spans="1:8" x14ac:dyDescent="0.25">
      <c r="A386" s="62"/>
      <c r="B386" s="62"/>
      <c r="C386" s="62"/>
      <c r="D386" s="62"/>
      <c r="E386" s="62"/>
      <c r="F386" s="62"/>
      <c r="G386" s="63"/>
      <c r="H386" s="47"/>
    </row>
    <row r="387" spans="1:8" x14ac:dyDescent="0.25">
      <c r="A387" s="62"/>
      <c r="B387" s="62"/>
      <c r="C387" s="62"/>
      <c r="D387" s="62"/>
      <c r="E387" s="62"/>
      <c r="F387" s="62"/>
      <c r="G387" s="63"/>
      <c r="H387" s="47"/>
    </row>
    <row r="388" spans="1:8" x14ac:dyDescent="0.25">
      <c r="A388" s="62"/>
      <c r="B388" s="62"/>
      <c r="C388" s="62"/>
      <c r="D388" s="62"/>
      <c r="E388" s="62"/>
      <c r="F388" s="62"/>
      <c r="G388" s="63"/>
      <c r="H388" s="47"/>
    </row>
    <row r="389" spans="1:8" x14ac:dyDescent="0.25">
      <c r="A389" s="62"/>
      <c r="B389" s="62"/>
      <c r="C389" s="62"/>
      <c r="D389" s="62"/>
      <c r="E389" s="62"/>
      <c r="F389" s="62"/>
      <c r="G389" s="63"/>
      <c r="H389" s="47"/>
    </row>
    <row r="390" spans="1:8" x14ac:dyDescent="0.25">
      <c r="A390" s="62"/>
      <c r="B390" s="62"/>
      <c r="C390" s="62"/>
      <c r="D390" s="62"/>
      <c r="E390" s="62"/>
      <c r="F390" s="62"/>
      <c r="G390" s="63"/>
      <c r="H390" s="47"/>
    </row>
    <row r="391" spans="1:8" x14ac:dyDescent="0.25">
      <c r="A391" s="62"/>
      <c r="B391" s="62"/>
      <c r="C391" s="62"/>
      <c r="D391" s="62"/>
      <c r="E391" s="62"/>
      <c r="F391" s="62"/>
      <c r="G391" s="63"/>
      <c r="H391" s="47"/>
    </row>
    <row r="392" spans="1:8" x14ac:dyDescent="0.25">
      <c r="A392" s="62"/>
      <c r="B392" s="62"/>
      <c r="C392" s="62"/>
      <c r="D392" s="62"/>
      <c r="E392" s="62"/>
      <c r="F392" s="62"/>
      <c r="G392" s="63"/>
      <c r="H392" s="47"/>
    </row>
    <row r="393" spans="1:8" x14ac:dyDescent="0.25">
      <c r="A393" s="62"/>
      <c r="B393" s="62"/>
      <c r="C393" s="62"/>
      <c r="D393" s="62"/>
      <c r="E393" s="62"/>
      <c r="F393" s="62"/>
      <c r="G393" s="63"/>
      <c r="H393" s="47"/>
    </row>
    <row r="394" spans="1:8" x14ac:dyDescent="0.25">
      <c r="A394" s="62"/>
      <c r="B394" s="62"/>
      <c r="C394" s="62"/>
      <c r="D394" s="62"/>
      <c r="E394" s="62"/>
      <c r="F394" s="62"/>
      <c r="G394" s="63"/>
      <c r="H394" s="47"/>
    </row>
    <row r="395" spans="1:8" x14ac:dyDescent="0.25">
      <c r="A395" s="62"/>
      <c r="B395" s="62"/>
      <c r="C395" s="62"/>
      <c r="D395" s="62"/>
      <c r="E395" s="62"/>
      <c r="F395" s="62"/>
      <c r="G395" s="63"/>
      <c r="H395" s="47"/>
    </row>
    <row r="396" spans="1:8" x14ac:dyDescent="0.25">
      <c r="A396" s="62"/>
      <c r="B396" s="62"/>
      <c r="C396" s="62"/>
      <c r="D396" s="62"/>
      <c r="E396" s="62"/>
      <c r="F396" s="62"/>
      <c r="G396" s="63"/>
      <c r="H396" s="47"/>
    </row>
    <row r="397" spans="1:8" x14ac:dyDescent="0.25">
      <c r="A397" s="62"/>
      <c r="B397" s="62"/>
      <c r="C397" s="62"/>
      <c r="D397" s="62"/>
      <c r="E397" s="62"/>
      <c r="F397" s="62"/>
      <c r="G397" s="63"/>
      <c r="H397" s="47"/>
    </row>
    <row r="398" spans="1:8" x14ac:dyDescent="0.25">
      <c r="A398" s="62"/>
      <c r="B398" s="62"/>
      <c r="C398" s="62"/>
      <c r="D398" s="62"/>
      <c r="E398" s="62"/>
      <c r="F398" s="62"/>
      <c r="G398" s="63"/>
      <c r="H398" s="47"/>
    </row>
    <row r="399" spans="1:8" x14ac:dyDescent="0.25">
      <c r="A399" s="62"/>
      <c r="B399" s="62"/>
      <c r="C399" s="62"/>
      <c r="D399" s="62"/>
      <c r="E399" s="62"/>
      <c r="F399" s="62"/>
      <c r="G399" s="63"/>
      <c r="H399" s="47"/>
    </row>
    <row r="400" spans="1:8" x14ac:dyDescent="0.25">
      <c r="A400" s="62"/>
      <c r="B400" s="62"/>
      <c r="C400" s="62"/>
      <c r="D400" s="62"/>
      <c r="E400" s="62"/>
      <c r="F400" s="62"/>
      <c r="G400" s="63"/>
      <c r="H400" s="47"/>
    </row>
    <row r="401" spans="1:8" x14ac:dyDescent="0.25">
      <c r="A401" s="62"/>
      <c r="B401" s="62"/>
      <c r="C401" s="62"/>
      <c r="D401" s="62"/>
      <c r="E401" s="62"/>
      <c r="F401" s="62"/>
      <c r="G401" s="63"/>
      <c r="H401" s="47"/>
    </row>
    <row r="402" spans="1:8" x14ac:dyDescent="0.25">
      <c r="A402" s="62"/>
      <c r="B402" s="62"/>
      <c r="C402" s="62"/>
      <c r="D402" s="62"/>
      <c r="E402" s="62"/>
      <c r="F402" s="62"/>
      <c r="G402" s="63"/>
      <c r="H402" s="47"/>
    </row>
    <row r="403" spans="1:8" x14ac:dyDescent="0.25">
      <c r="A403" s="62"/>
      <c r="B403" s="62"/>
      <c r="C403" s="62"/>
      <c r="D403" s="62"/>
      <c r="E403" s="62"/>
      <c r="F403" s="62"/>
      <c r="G403" s="63"/>
      <c r="H403" s="47"/>
    </row>
    <row r="404" spans="1:8" x14ac:dyDescent="0.25">
      <c r="A404" s="62"/>
      <c r="B404" s="62"/>
      <c r="C404" s="62"/>
      <c r="D404" s="62"/>
      <c r="E404" s="62"/>
      <c r="F404" s="62"/>
      <c r="G404" s="63"/>
      <c r="H404" s="47"/>
    </row>
    <row r="405" spans="1:8" x14ac:dyDescent="0.25">
      <c r="A405" s="62"/>
      <c r="B405" s="62"/>
      <c r="C405" s="62"/>
      <c r="D405" s="62"/>
      <c r="E405" s="62"/>
      <c r="F405" s="62"/>
      <c r="G405" s="63"/>
      <c r="H405" s="47"/>
    </row>
    <row r="406" spans="1:8" x14ac:dyDescent="0.25">
      <c r="A406" s="62"/>
      <c r="B406" s="62"/>
      <c r="C406" s="62"/>
      <c r="D406" s="62"/>
      <c r="E406" s="62"/>
      <c r="F406" s="62"/>
      <c r="G406" s="63"/>
      <c r="H406" s="47"/>
    </row>
    <row r="407" spans="1:8" x14ac:dyDescent="0.25">
      <c r="A407" s="62"/>
      <c r="B407" s="62"/>
      <c r="C407" s="62"/>
      <c r="D407" s="62"/>
      <c r="E407" s="62"/>
      <c r="F407" s="62"/>
      <c r="G407" s="63"/>
      <c r="H407" s="47"/>
    </row>
    <row r="408" spans="1:8" x14ac:dyDescent="0.25">
      <c r="A408" s="62"/>
      <c r="B408" s="62"/>
      <c r="C408" s="62"/>
      <c r="D408" s="62"/>
      <c r="E408" s="62"/>
      <c r="F408" s="62"/>
      <c r="G408" s="63"/>
      <c r="H408" s="47"/>
    </row>
    <row r="409" spans="1:8" x14ac:dyDescent="0.25">
      <c r="A409" s="62"/>
      <c r="B409" s="62"/>
      <c r="C409" s="62"/>
      <c r="D409" s="62"/>
      <c r="E409" s="62"/>
      <c r="F409" s="62"/>
      <c r="G409" s="63"/>
      <c r="H409" s="47"/>
    </row>
    <row r="410" spans="1:8" x14ac:dyDescent="0.25">
      <c r="A410" s="62"/>
      <c r="B410" s="62"/>
      <c r="C410" s="62"/>
      <c r="D410" s="62"/>
      <c r="E410" s="62"/>
      <c r="F410" s="62"/>
      <c r="G410" s="63"/>
      <c r="H410" s="47"/>
    </row>
    <row r="411" spans="1:8" x14ac:dyDescent="0.25">
      <c r="A411" s="62"/>
      <c r="B411" s="62"/>
      <c r="C411" s="62"/>
      <c r="D411" s="62"/>
      <c r="E411" s="62"/>
      <c r="F411" s="62"/>
      <c r="G411" s="63"/>
      <c r="H411" s="47"/>
    </row>
    <row r="412" spans="1:8" x14ac:dyDescent="0.25">
      <c r="A412" s="62"/>
      <c r="B412" s="62"/>
      <c r="C412" s="62"/>
      <c r="D412" s="62"/>
      <c r="E412" s="62"/>
      <c r="F412" s="62"/>
      <c r="G412" s="63"/>
      <c r="H412" s="47"/>
    </row>
    <row r="413" spans="1:8" x14ac:dyDescent="0.25">
      <c r="A413" s="62"/>
      <c r="B413" s="62"/>
      <c r="C413" s="62"/>
      <c r="D413" s="62"/>
      <c r="E413" s="62"/>
      <c r="F413" s="62"/>
      <c r="G413" s="63"/>
      <c r="H413" s="47"/>
    </row>
    <row r="414" spans="1:8" x14ac:dyDescent="0.25">
      <c r="A414" s="62"/>
      <c r="B414" s="62"/>
      <c r="C414" s="62"/>
      <c r="D414" s="62"/>
      <c r="E414" s="62"/>
      <c r="F414" s="62"/>
      <c r="G414" s="63"/>
      <c r="H414" s="47"/>
    </row>
    <row r="415" spans="1:8" x14ac:dyDescent="0.25">
      <c r="A415" s="62"/>
      <c r="B415" s="62"/>
      <c r="C415" s="62"/>
      <c r="D415" s="62"/>
      <c r="E415" s="62"/>
      <c r="F415" s="62"/>
      <c r="G415" s="63"/>
      <c r="H415" s="47"/>
    </row>
    <row r="416" spans="1:8" x14ac:dyDescent="0.25">
      <c r="A416" s="62"/>
      <c r="B416" s="62"/>
      <c r="C416" s="62"/>
      <c r="D416" s="62"/>
      <c r="E416" s="62"/>
      <c r="F416" s="62"/>
      <c r="G416" s="63"/>
      <c r="H416" s="47"/>
    </row>
    <row r="417" spans="1:8" x14ac:dyDescent="0.25">
      <c r="A417" s="62"/>
      <c r="B417" s="62"/>
      <c r="C417" s="62"/>
      <c r="D417" s="62"/>
      <c r="E417" s="62"/>
      <c r="F417" s="62"/>
      <c r="G417" s="63"/>
      <c r="H417" s="47"/>
    </row>
    <row r="418" spans="1:8" x14ac:dyDescent="0.25">
      <c r="A418" s="62"/>
      <c r="B418" s="62"/>
      <c r="C418" s="62"/>
      <c r="D418" s="62"/>
      <c r="E418" s="62"/>
      <c r="F418" s="62"/>
      <c r="G418" s="63"/>
      <c r="H418" s="47"/>
    </row>
    <row r="419" spans="1:8" x14ac:dyDescent="0.25">
      <c r="A419" s="62"/>
      <c r="B419" s="62"/>
      <c r="C419" s="62"/>
      <c r="D419" s="62"/>
      <c r="E419" s="62"/>
      <c r="F419" s="62"/>
      <c r="G419" s="63"/>
      <c r="H419" s="47"/>
    </row>
    <row r="420" spans="1:8" x14ac:dyDescent="0.25">
      <c r="A420" s="62"/>
      <c r="B420" s="62"/>
      <c r="C420" s="62"/>
      <c r="D420" s="62"/>
      <c r="E420" s="62"/>
      <c r="F420" s="62"/>
      <c r="G420" s="63"/>
      <c r="H420" s="47"/>
    </row>
    <row r="421" spans="1:8" x14ac:dyDescent="0.25">
      <c r="A421" s="62"/>
      <c r="B421" s="62"/>
      <c r="C421" s="62"/>
      <c r="D421" s="62"/>
      <c r="E421" s="62"/>
      <c r="F421" s="62"/>
      <c r="G421" s="63"/>
      <c r="H421" s="47"/>
    </row>
    <row r="422" spans="1:8" x14ac:dyDescent="0.25">
      <c r="A422" s="62"/>
      <c r="B422" s="62"/>
      <c r="C422" s="62"/>
      <c r="D422" s="62"/>
      <c r="E422" s="62"/>
      <c r="F422" s="62"/>
      <c r="G422" s="63"/>
      <c r="H422" s="47"/>
    </row>
    <row r="423" spans="1:8" x14ac:dyDescent="0.25">
      <c r="A423" s="62"/>
      <c r="B423" s="62"/>
      <c r="C423" s="62"/>
      <c r="D423" s="62"/>
      <c r="E423" s="62"/>
      <c r="F423" s="62"/>
      <c r="G423" s="63"/>
      <c r="H423" s="47"/>
    </row>
    <row r="424" spans="1:8" x14ac:dyDescent="0.25">
      <c r="A424" s="62"/>
      <c r="B424" s="62"/>
      <c r="C424" s="62"/>
      <c r="D424" s="62"/>
      <c r="E424" s="62"/>
      <c r="F424" s="62"/>
      <c r="G424" s="63"/>
      <c r="H424" s="47"/>
    </row>
    <row r="425" spans="1:8" x14ac:dyDescent="0.25">
      <c r="A425" s="62"/>
      <c r="B425" s="62"/>
      <c r="C425" s="62"/>
      <c r="D425" s="62"/>
      <c r="E425" s="62"/>
      <c r="F425" s="62"/>
      <c r="G425" s="63"/>
      <c r="H425" s="47"/>
    </row>
    <row r="426" spans="1:8" x14ac:dyDescent="0.25">
      <c r="A426" s="62"/>
      <c r="B426" s="62"/>
      <c r="C426" s="62"/>
      <c r="D426" s="62"/>
      <c r="E426" s="62"/>
      <c r="F426" s="62"/>
      <c r="G426" s="63"/>
      <c r="H426" s="47"/>
    </row>
    <row r="427" spans="1:8" x14ac:dyDescent="0.25">
      <c r="A427" s="62"/>
      <c r="B427" s="62"/>
      <c r="C427" s="62"/>
      <c r="D427" s="62"/>
      <c r="E427" s="62"/>
      <c r="F427" s="62"/>
      <c r="G427" s="63"/>
      <c r="H427" s="47"/>
    </row>
    <row r="428" spans="1:8" x14ac:dyDescent="0.25">
      <c r="A428" s="62"/>
      <c r="B428" s="62"/>
      <c r="C428" s="62"/>
      <c r="D428" s="62"/>
      <c r="E428" s="62"/>
      <c r="F428" s="62"/>
      <c r="G428" s="63"/>
      <c r="H428" s="47"/>
    </row>
    <row r="429" spans="1:8" x14ac:dyDescent="0.25">
      <c r="A429" s="62"/>
      <c r="B429" s="62"/>
      <c r="C429" s="62"/>
      <c r="D429" s="62"/>
      <c r="E429" s="62"/>
      <c r="F429" s="62"/>
      <c r="G429" s="63"/>
      <c r="H429" s="47"/>
    </row>
    <row r="430" spans="1:8" x14ac:dyDescent="0.25">
      <c r="A430" s="62"/>
      <c r="B430" s="62"/>
      <c r="C430" s="62"/>
      <c r="D430" s="62"/>
      <c r="E430" s="62"/>
      <c r="F430" s="62"/>
      <c r="G430" s="63"/>
      <c r="H430" s="47"/>
    </row>
    <row r="431" spans="1:8" x14ac:dyDescent="0.25">
      <c r="A431" s="62"/>
      <c r="B431" s="62"/>
      <c r="C431" s="62"/>
      <c r="D431" s="62"/>
      <c r="E431" s="62"/>
      <c r="F431" s="62"/>
      <c r="G431" s="63"/>
      <c r="H431" s="47"/>
    </row>
    <row r="432" spans="1:8" x14ac:dyDescent="0.25">
      <c r="A432" s="62"/>
      <c r="B432" s="62"/>
      <c r="C432" s="62"/>
      <c r="D432" s="62"/>
      <c r="E432" s="62"/>
      <c r="F432" s="62"/>
      <c r="G432" s="63"/>
      <c r="H432" s="47"/>
    </row>
    <row r="433" spans="1:8" x14ac:dyDescent="0.25">
      <c r="A433" s="62"/>
      <c r="B433" s="62"/>
      <c r="C433" s="62"/>
      <c r="D433" s="62"/>
      <c r="E433" s="62"/>
      <c r="F433" s="62"/>
      <c r="G433" s="63"/>
      <c r="H433" s="47"/>
    </row>
    <row r="434" spans="1:8" x14ac:dyDescent="0.25">
      <c r="A434" s="62"/>
      <c r="B434" s="62"/>
      <c r="C434" s="62"/>
      <c r="D434" s="62"/>
      <c r="E434" s="62"/>
      <c r="F434" s="62"/>
      <c r="G434" s="63"/>
      <c r="H434" s="47"/>
    </row>
    <row r="435" spans="1:8" x14ac:dyDescent="0.25">
      <c r="A435" s="62"/>
      <c r="B435" s="62"/>
      <c r="C435" s="62"/>
      <c r="D435" s="62"/>
      <c r="E435" s="62"/>
      <c r="F435" s="62"/>
      <c r="G435" s="63"/>
      <c r="H435" s="47"/>
    </row>
    <row r="436" spans="1:8" x14ac:dyDescent="0.25">
      <c r="A436" s="62"/>
      <c r="B436" s="62"/>
      <c r="C436" s="62"/>
      <c r="D436" s="62"/>
      <c r="E436" s="62"/>
      <c r="F436" s="62"/>
      <c r="G436" s="63"/>
      <c r="H436" s="47"/>
    </row>
    <row r="437" spans="1:8" x14ac:dyDescent="0.25">
      <c r="A437" s="62"/>
      <c r="B437" s="62"/>
      <c r="C437" s="62"/>
      <c r="D437" s="62"/>
      <c r="E437" s="62"/>
      <c r="F437" s="62"/>
      <c r="G437" s="63"/>
      <c r="H437" s="47"/>
    </row>
    <row r="438" spans="1:8" x14ac:dyDescent="0.25">
      <c r="A438" s="62"/>
      <c r="B438" s="62"/>
      <c r="C438" s="62"/>
      <c r="D438" s="62"/>
      <c r="E438" s="62"/>
      <c r="F438" s="62"/>
      <c r="G438" s="63"/>
      <c r="H438" s="47"/>
    </row>
    <row r="439" spans="1:8" x14ac:dyDescent="0.25">
      <c r="A439" s="62"/>
      <c r="B439" s="62"/>
      <c r="C439" s="62"/>
      <c r="D439" s="62"/>
      <c r="E439" s="62"/>
      <c r="F439" s="62"/>
      <c r="G439" s="63"/>
      <c r="H439" s="47"/>
    </row>
    <row r="440" spans="1:8" x14ac:dyDescent="0.25">
      <c r="A440" s="62"/>
      <c r="B440" s="62"/>
      <c r="C440" s="62"/>
      <c r="D440" s="62"/>
      <c r="E440" s="62"/>
      <c r="F440" s="62"/>
      <c r="G440" s="63"/>
      <c r="H440" s="47"/>
    </row>
    <row r="441" spans="1:8" x14ac:dyDescent="0.25">
      <c r="A441" s="62"/>
      <c r="B441" s="62"/>
      <c r="C441" s="62"/>
      <c r="D441" s="62"/>
      <c r="E441" s="62"/>
      <c r="F441" s="62"/>
      <c r="G441" s="63"/>
      <c r="H441" s="47"/>
    </row>
    <row r="442" spans="1:8" x14ac:dyDescent="0.25">
      <c r="A442" s="62"/>
      <c r="B442" s="62"/>
      <c r="C442" s="62"/>
      <c r="D442" s="62"/>
      <c r="E442" s="62"/>
      <c r="F442" s="62"/>
      <c r="G442" s="63"/>
      <c r="H442" s="47"/>
    </row>
    <row r="443" spans="1:8" x14ac:dyDescent="0.25">
      <c r="A443" s="62"/>
      <c r="B443" s="62"/>
      <c r="C443" s="62"/>
      <c r="D443" s="62"/>
      <c r="E443" s="62"/>
      <c r="F443" s="62"/>
      <c r="G443" s="63"/>
      <c r="H443" s="47"/>
    </row>
    <row r="444" spans="1:8" x14ac:dyDescent="0.25">
      <c r="A444" s="62"/>
      <c r="B444" s="62"/>
      <c r="C444" s="62"/>
      <c r="D444" s="62"/>
      <c r="E444" s="62"/>
      <c r="F444" s="62"/>
      <c r="G444" s="63"/>
      <c r="H444" s="47"/>
    </row>
    <row r="445" spans="1:8" x14ac:dyDescent="0.25">
      <c r="A445" s="62"/>
      <c r="B445" s="62"/>
      <c r="C445" s="62"/>
      <c r="D445" s="62"/>
      <c r="E445" s="62"/>
      <c r="F445" s="62"/>
      <c r="G445" s="63"/>
      <c r="H445" s="47"/>
    </row>
    <row r="446" spans="1:8" x14ac:dyDescent="0.25">
      <c r="A446" s="62"/>
      <c r="B446" s="62"/>
      <c r="C446" s="62"/>
      <c r="D446" s="62"/>
      <c r="E446" s="62"/>
      <c r="F446" s="62"/>
      <c r="G446" s="63"/>
      <c r="H446" s="47"/>
    </row>
    <row r="447" spans="1:8" x14ac:dyDescent="0.25">
      <c r="A447" s="62"/>
      <c r="B447" s="62"/>
      <c r="C447" s="62"/>
      <c r="D447" s="62"/>
      <c r="E447" s="62"/>
      <c r="F447" s="62"/>
      <c r="G447" s="63"/>
      <c r="H447" s="47"/>
    </row>
    <row r="448" spans="1:8" x14ac:dyDescent="0.25">
      <c r="A448" s="62"/>
      <c r="B448" s="62"/>
      <c r="C448" s="62"/>
      <c r="D448" s="62"/>
      <c r="E448" s="62"/>
      <c r="F448" s="62"/>
      <c r="G448" s="63"/>
      <c r="H448" s="47"/>
    </row>
    <row r="449" spans="1:8" x14ac:dyDescent="0.25">
      <c r="A449" s="62"/>
      <c r="B449" s="62"/>
      <c r="C449" s="62"/>
      <c r="D449" s="62"/>
      <c r="E449" s="62"/>
      <c r="F449" s="62"/>
      <c r="G449" s="63"/>
      <c r="H449" s="47"/>
    </row>
    <row r="450" spans="1:8" x14ac:dyDescent="0.25">
      <c r="A450" s="62"/>
      <c r="B450" s="62"/>
      <c r="C450" s="62"/>
      <c r="D450" s="62"/>
      <c r="E450" s="62"/>
      <c r="F450" s="62"/>
      <c r="G450" s="63"/>
      <c r="H450" s="47"/>
    </row>
    <row r="451" spans="1:8" x14ac:dyDescent="0.25">
      <c r="A451" s="62"/>
      <c r="B451" s="62"/>
      <c r="C451" s="62"/>
      <c r="D451" s="62"/>
      <c r="E451" s="62"/>
      <c r="F451" s="62"/>
      <c r="G451" s="63"/>
      <c r="H451" s="47"/>
    </row>
    <row r="452" spans="1:8" x14ac:dyDescent="0.25">
      <c r="A452" s="62"/>
      <c r="B452" s="62"/>
      <c r="C452" s="62"/>
      <c r="D452" s="62"/>
      <c r="E452" s="62"/>
      <c r="F452" s="62"/>
      <c r="G452" s="63"/>
      <c r="H452" s="47"/>
    </row>
    <row r="453" spans="1:8" x14ac:dyDescent="0.25">
      <c r="A453" s="62"/>
      <c r="B453" s="62"/>
      <c r="C453" s="62"/>
      <c r="D453" s="62"/>
      <c r="E453" s="62"/>
      <c r="F453" s="62"/>
      <c r="G453" s="63"/>
      <c r="H453" s="47"/>
    </row>
    <row r="454" spans="1:8" x14ac:dyDescent="0.25">
      <c r="A454" s="62"/>
      <c r="B454" s="62"/>
      <c r="C454" s="62"/>
      <c r="D454" s="62"/>
      <c r="E454" s="62"/>
      <c r="F454" s="62"/>
      <c r="G454" s="63"/>
      <c r="H454" s="47"/>
    </row>
    <row r="455" spans="1:8" x14ac:dyDescent="0.25">
      <c r="A455" s="62"/>
      <c r="B455" s="62"/>
      <c r="C455" s="62"/>
      <c r="D455" s="62"/>
      <c r="E455" s="62"/>
      <c r="F455" s="62"/>
      <c r="G455" s="63"/>
      <c r="H455" s="47"/>
    </row>
    <row r="456" spans="1:8" x14ac:dyDescent="0.25">
      <c r="A456" s="62"/>
      <c r="B456" s="62"/>
      <c r="C456" s="62"/>
      <c r="D456" s="62"/>
      <c r="E456" s="62"/>
      <c r="F456" s="62"/>
      <c r="G456" s="63"/>
      <c r="H456" s="47"/>
    </row>
    <row r="457" spans="1:8" x14ac:dyDescent="0.25">
      <c r="A457" s="62"/>
      <c r="B457" s="62"/>
      <c r="C457" s="62"/>
      <c r="D457" s="62"/>
      <c r="E457" s="62"/>
      <c r="F457" s="62"/>
      <c r="G457" s="63"/>
      <c r="H457" s="47"/>
    </row>
    <row r="458" spans="1:8" x14ac:dyDescent="0.25">
      <c r="A458" s="62"/>
      <c r="B458" s="62"/>
      <c r="C458" s="62"/>
      <c r="D458" s="62"/>
      <c r="E458" s="62"/>
      <c r="F458" s="62"/>
      <c r="G458" s="63"/>
      <c r="H458" s="47"/>
    </row>
    <row r="459" spans="1:8" x14ac:dyDescent="0.25">
      <c r="A459" s="62"/>
      <c r="B459" s="62"/>
      <c r="C459" s="62"/>
      <c r="D459" s="62"/>
      <c r="E459" s="62"/>
      <c r="F459" s="62"/>
      <c r="G459" s="63"/>
      <c r="H459" s="47"/>
    </row>
    <row r="460" spans="1:8" x14ac:dyDescent="0.25">
      <c r="A460" s="62"/>
      <c r="B460" s="62"/>
      <c r="C460" s="62"/>
      <c r="D460" s="62"/>
      <c r="E460" s="62"/>
      <c r="F460" s="62"/>
      <c r="G460" s="63"/>
      <c r="H460" s="47"/>
    </row>
    <row r="461" spans="1:8" x14ac:dyDescent="0.25">
      <c r="A461" s="62"/>
      <c r="B461" s="62"/>
      <c r="C461" s="62"/>
      <c r="D461" s="62"/>
      <c r="E461" s="62"/>
      <c r="F461" s="62"/>
      <c r="G461" s="63"/>
      <c r="H461" s="47"/>
    </row>
    <row r="462" spans="1:8" x14ac:dyDescent="0.25">
      <c r="A462" s="62"/>
      <c r="B462" s="62"/>
      <c r="C462" s="62"/>
      <c r="D462" s="62"/>
      <c r="E462" s="62"/>
      <c r="F462" s="62"/>
      <c r="G462" s="63"/>
      <c r="H462" s="47"/>
    </row>
    <row r="463" spans="1:8" x14ac:dyDescent="0.25">
      <c r="A463" s="62"/>
      <c r="B463" s="62"/>
      <c r="C463" s="62"/>
      <c r="D463" s="62"/>
      <c r="E463" s="62"/>
      <c r="F463" s="62"/>
      <c r="G463" s="63"/>
      <c r="H463" s="47"/>
    </row>
    <row r="464" spans="1:8" x14ac:dyDescent="0.25">
      <c r="A464" s="62"/>
      <c r="B464" s="62"/>
      <c r="C464" s="62"/>
      <c r="D464" s="62"/>
      <c r="E464" s="62"/>
      <c r="F464" s="62"/>
      <c r="G464" s="63"/>
      <c r="H464" s="47"/>
    </row>
    <row r="465" spans="1:8" x14ac:dyDescent="0.25">
      <c r="A465" s="62"/>
      <c r="B465" s="62"/>
      <c r="C465" s="62"/>
      <c r="D465" s="62"/>
      <c r="E465" s="62"/>
      <c r="F465" s="62"/>
      <c r="G465" s="63"/>
      <c r="H465" s="47"/>
    </row>
    <row r="466" spans="1:8" x14ac:dyDescent="0.25">
      <c r="A466" s="62"/>
      <c r="B466" s="62"/>
      <c r="C466" s="62"/>
      <c r="D466" s="62"/>
      <c r="E466" s="62"/>
      <c r="F466" s="62"/>
      <c r="G466" s="63"/>
      <c r="H466" s="47"/>
    </row>
    <row r="467" spans="1:8" x14ac:dyDescent="0.25">
      <c r="A467" s="62"/>
      <c r="B467" s="62"/>
      <c r="C467" s="62"/>
      <c r="D467" s="62"/>
      <c r="E467" s="62"/>
      <c r="F467" s="62"/>
      <c r="G467" s="63"/>
      <c r="H467" s="47"/>
    </row>
    <row r="468" spans="1:8" x14ac:dyDescent="0.25">
      <c r="A468" s="62"/>
      <c r="B468" s="62"/>
      <c r="C468" s="62"/>
      <c r="D468" s="62"/>
      <c r="E468" s="62"/>
      <c r="F468" s="62"/>
      <c r="G468" s="63"/>
      <c r="H468" s="47"/>
    </row>
    <row r="469" spans="1:8" x14ac:dyDescent="0.25">
      <c r="A469" s="62"/>
      <c r="B469" s="62"/>
      <c r="C469" s="62"/>
      <c r="D469" s="62"/>
      <c r="E469" s="62"/>
      <c r="F469" s="62"/>
      <c r="G469" s="63"/>
      <c r="H469" s="47"/>
    </row>
    <row r="470" spans="1:8" x14ac:dyDescent="0.25">
      <c r="A470" s="62"/>
      <c r="B470" s="62"/>
      <c r="C470" s="62"/>
      <c r="D470" s="62"/>
      <c r="E470" s="62"/>
      <c r="F470" s="62"/>
      <c r="G470" s="63"/>
      <c r="H470" s="47"/>
    </row>
    <row r="471" spans="1:8" x14ac:dyDescent="0.25">
      <c r="A471" s="62"/>
      <c r="B471" s="62"/>
      <c r="C471" s="62"/>
      <c r="D471" s="62"/>
      <c r="E471" s="62"/>
      <c r="F471" s="62"/>
      <c r="G471" s="63"/>
      <c r="H471" s="47"/>
    </row>
    <row r="472" spans="1:8" x14ac:dyDescent="0.25">
      <c r="A472" s="62"/>
      <c r="B472" s="62"/>
      <c r="C472" s="62"/>
      <c r="D472" s="62"/>
      <c r="E472" s="62"/>
      <c r="F472" s="62"/>
      <c r="G472" s="63"/>
      <c r="H472" s="47"/>
    </row>
    <row r="473" spans="1:8" x14ac:dyDescent="0.25">
      <c r="A473" s="62"/>
      <c r="B473" s="62"/>
      <c r="C473" s="62"/>
      <c r="D473" s="62"/>
      <c r="E473" s="62"/>
      <c r="F473" s="62"/>
      <c r="G473" s="63"/>
      <c r="H473" s="47"/>
    </row>
    <row r="474" spans="1:8" x14ac:dyDescent="0.25">
      <c r="A474" s="62"/>
      <c r="B474" s="62"/>
      <c r="C474" s="62"/>
      <c r="D474" s="62"/>
      <c r="E474" s="62"/>
      <c r="F474" s="62"/>
      <c r="G474" s="63"/>
      <c r="H474" s="47"/>
    </row>
    <row r="475" spans="1:8" x14ac:dyDescent="0.25">
      <c r="A475" s="62"/>
      <c r="B475" s="62"/>
      <c r="C475" s="62"/>
      <c r="D475" s="62"/>
      <c r="E475" s="62"/>
      <c r="F475" s="62"/>
      <c r="G475" s="63"/>
      <c r="H475" s="47"/>
    </row>
    <row r="476" spans="1:8" x14ac:dyDescent="0.25">
      <c r="A476" s="62"/>
      <c r="B476" s="62"/>
      <c r="C476" s="62"/>
      <c r="D476" s="62"/>
      <c r="E476" s="62"/>
      <c r="F476" s="62"/>
      <c r="G476" s="63"/>
      <c r="H476" s="47"/>
    </row>
    <row r="477" spans="1:8" x14ac:dyDescent="0.25">
      <c r="A477" s="62"/>
      <c r="B477" s="62"/>
      <c r="C477" s="62"/>
      <c r="D477" s="62"/>
      <c r="E477" s="62"/>
      <c r="F477" s="62"/>
      <c r="G477" s="63"/>
      <c r="H477" s="47"/>
    </row>
    <row r="478" spans="1:8" x14ac:dyDescent="0.25">
      <c r="A478" s="62"/>
      <c r="B478" s="62"/>
      <c r="C478" s="62"/>
      <c r="D478" s="62"/>
      <c r="E478" s="62"/>
      <c r="F478" s="62"/>
      <c r="G478" s="63"/>
      <c r="H478" s="47"/>
    </row>
    <row r="479" spans="1:8" x14ac:dyDescent="0.25">
      <c r="A479" s="62"/>
      <c r="B479" s="62"/>
      <c r="C479" s="62"/>
      <c r="D479" s="62"/>
      <c r="E479" s="62"/>
      <c r="F479" s="62"/>
      <c r="G479" s="63"/>
      <c r="H479" s="47"/>
    </row>
    <row r="480" spans="1:8" x14ac:dyDescent="0.25">
      <c r="A480" s="62"/>
      <c r="B480" s="62"/>
      <c r="C480" s="62"/>
      <c r="D480" s="62"/>
      <c r="E480" s="62"/>
      <c r="F480" s="62"/>
      <c r="G480" s="63"/>
      <c r="H480" s="47"/>
    </row>
    <row r="481" spans="1:8" x14ac:dyDescent="0.25">
      <c r="A481" s="62"/>
      <c r="B481" s="62"/>
      <c r="C481" s="62"/>
      <c r="D481" s="62"/>
      <c r="E481" s="62"/>
      <c r="F481" s="62"/>
      <c r="G481" s="63"/>
      <c r="H481" s="47"/>
    </row>
    <row r="482" spans="1:8" x14ac:dyDescent="0.25">
      <c r="A482" s="62"/>
      <c r="B482" s="62"/>
      <c r="C482" s="62"/>
      <c r="D482" s="62"/>
      <c r="E482" s="62"/>
      <c r="F482" s="62"/>
      <c r="G482" s="63"/>
      <c r="H482" s="47"/>
    </row>
    <row r="483" spans="1:8" x14ac:dyDescent="0.25">
      <c r="A483" s="62"/>
      <c r="B483" s="62"/>
      <c r="C483" s="62"/>
      <c r="D483" s="62"/>
      <c r="E483" s="62"/>
      <c r="F483" s="62"/>
      <c r="G483" s="63"/>
      <c r="H483" s="47"/>
    </row>
    <row r="484" spans="1:8" x14ac:dyDescent="0.25">
      <c r="A484" s="62"/>
      <c r="B484" s="62"/>
      <c r="C484" s="62"/>
      <c r="D484" s="62"/>
      <c r="E484" s="62"/>
      <c r="F484" s="62"/>
      <c r="G484" s="63"/>
      <c r="H484" s="47"/>
    </row>
    <row r="485" spans="1:8" x14ac:dyDescent="0.25">
      <c r="A485" s="62"/>
      <c r="B485" s="62"/>
      <c r="C485" s="62"/>
      <c r="D485" s="62"/>
      <c r="E485" s="62"/>
      <c r="F485" s="62"/>
      <c r="G485" s="63"/>
      <c r="H485" s="47"/>
    </row>
    <row r="486" spans="1:8" x14ac:dyDescent="0.25">
      <c r="A486" s="62"/>
      <c r="B486" s="62"/>
      <c r="C486" s="62"/>
      <c r="D486" s="62"/>
      <c r="E486" s="62"/>
      <c r="F486" s="62"/>
      <c r="G486" s="63"/>
      <c r="H486" s="47"/>
    </row>
    <row r="487" spans="1:8" x14ac:dyDescent="0.25">
      <c r="A487" s="62"/>
      <c r="B487" s="62"/>
      <c r="C487" s="62"/>
      <c r="D487" s="62"/>
      <c r="E487" s="62"/>
      <c r="F487" s="62"/>
      <c r="G487" s="63"/>
      <c r="H487" s="47"/>
    </row>
    <row r="488" spans="1:8" x14ac:dyDescent="0.25">
      <c r="A488" s="62"/>
      <c r="B488" s="62"/>
      <c r="C488" s="62"/>
      <c r="D488" s="62"/>
      <c r="E488" s="62"/>
      <c r="F488" s="62"/>
      <c r="G488" s="63"/>
      <c r="H488" s="47"/>
    </row>
    <row r="489" spans="1:8" x14ac:dyDescent="0.25">
      <c r="A489" s="62"/>
      <c r="B489" s="62"/>
      <c r="C489" s="62"/>
      <c r="D489" s="62"/>
      <c r="E489" s="62"/>
      <c r="F489" s="62"/>
      <c r="G489" s="63"/>
      <c r="H489" s="47"/>
    </row>
    <row r="490" spans="1:8" x14ac:dyDescent="0.25">
      <c r="A490" s="62"/>
      <c r="B490" s="62"/>
      <c r="C490" s="62"/>
      <c r="D490" s="62"/>
      <c r="E490" s="62"/>
      <c r="F490" s="62"/>
      <c r="G490" s="63"/>
      <c r="H490" s="47"/>
    </row>
    <row r="491" spans="1:8" x14ac:dyDescent="0.25">
      <c r="A491" s="62"/>
      <c r="B491" s="62"/>
      <c r="C491" s="62"/>
      <c r="D491" s="62"/>
      <c r="E491" s="62"/>
      <c r="F491" s="62"/>
      <c r="G491" s="63"/>
      <c r="H491" s="47"/>
    </row>
    <row r="492" spans="1:8" x14ac:dyDescent="0.25">
      <c r="A492" s="62"/>
      <c r="B492" s="62"/>
      <c r="C492" s="62"/>
      <c r="D492" s="62"/>
      <c r="E492" s="62"/>
      <c r="F492" s="62"/>
      <c r="G492" s="63"/>
      <c r="H492" s="47"/>
    </row>
    <row r="493" spans="1:8" x14ac:dyDescent="0.25">
      <c r="A493" s="62"/>
      <c r="B493" s="62"/>
      <c r="C493" s="62"/>
      <c r="D493" s="62"/>
      <c r="E493" s="62"/>
      <c r="F493" s="62"/>
      <c r="G493" s="63"/>
      <c r="H493" s="47"/>
    </row>
    <row r="494" spans="1:8" x14ac:dyDescent="0.25">
      <c r="A494" s="62"/>
      <c r="B494" s="62"/>
      <c r="C494" s="62"/>
      <c r="D494" s="62"/>
      <c r="E494" s="62"/>
      <c r="F494" s="62"/>
      <c r="G494" s="63"/>
      <c r="H494" s="47"/>
    </row>
    <row r="495" spans="1:8" x14ac:dyDescent="0.25">
      <c r="A495" s="62"/>
      <c r="B495" s="62"/>
      <c r="C495" s="62"/>
      <c r="D495" s="62"/>
      <c r="E495" s="62"/>
      <c r="F495" s="62"/>
      <c r="G495" s="63"/>
      <c r="H495" s="47"/>
    </row>
    <row r="496" spans="1:8" x14ac:dyDescent="0.25">
      <c r="A496" s="62"/>
      <c r="B496" s="62"/>
      <c r="C496" s="62"/>
      <c r="D496" s="62"/>
      <c r="E496" s="62"/>
      <c r="F496" s="62"/>
      <c r="G496" s="63"/>
      <c r="H496" s="47"/>
    </row>
    <row r="497" spans="1:8" x14ac:dyDescent="0.25">
      <c r="A497" s="62"/>
      <c r="B497" s="62"/>
      <c r="C497" s="62"/>
      <c r="D497" s="62"/>
      <c r="E497" s="62"/>
      <c r="F497" s="62"/>
      <c r="G497" s="63"/>
      <c r="H497" s="47"/>
    </row>
    <row r="498" spans="1:8" x14ac:dyDescent="0.25">
      <c r="A498" s="62"/>
      <c r="B498" s="62"/>
      <c r="C498" s="62"/>
      <c r="D498" s="62"/>
      <c r="E498" s="62"/>
      <c r="F498" s="62"/>
      <c r="G498" s="63"/>
      <c r="H498" s="47"/>
    </row>
    <row r="499" spans="1:8" x14ac:dyDescent="0.25">
      <c r="A499" s="62"/>
      <c r="B499" s="62"/>
      <c r="C499" s="62"/>
      <c r="D499" s="62"/>
      <c r="E499" s="62"/>
      <c r="F499" s="62"/>
      <c r="G499" s="63"/>
      <c r="H499" s="47"/>
    </row>
    <row r="500" spans="1:8" x14ac:dyDescent="0.25">
      <c r="A500" s="62"/>
      <c r="B500" s="62"/>
      <c r="C500" s="62"/>
      <c r="D500" s="62"/>
      <c r="E500" s="62"/>
      <c r="F500" s="62"/>
      <c r="G500" s="63"/>
      <c r="H500" s="47"/>
    </row>
    <row r="501" spans="1:8" x14ac:dyDescent="0.25">
      <c r="A501" s="62"/>
      <c r="B501" s="62"/>
      <c r="C501" s="62"/>
      <c r="D501" s="62"/>
      <c r="E501" s="62"/>
      <c r="F501" s="62"/>
      <c r="G501" s="63"/>
      <c r="H501" s="47"/>
    </row>
    <row r="502" spans="1:8" x14ac:dyDescent="0.25">
      <c r="A502" s="62"/>
      <c r="B502" s="62"/>
      <c r="C502" s="62"/>
      <c r="D502" s="62"/>
      <c r="E502" s="62"/>
      <c r="F502" s="62"/>
      <c r="G502" s="63"/>
      <c r="H502" s="47"/>
    </row>
    <row r="503" spans="1:8" x14ac:dyDescent="0.25">
      <c r="A503" s="62"/>
      <c r="B503" s="62"/>
      <c r="C503" s="62"/>
      <c r="D503" s="62"/>
      <c r="E503" s="62"/>
      <c r="F503" s="62"/>
      <c r="G503" s="63"/>
      <c r="H503" s="47"/>
    </row>
    <row r="504" spans="1:8" x14ac:dyDescent="0.25">
      <c r="A504" s="62"/>
      <c r="B504" s="62"/>
      <c r="C504" s="62"/>
      <c r="D504" s="62"/>
      <c r="E504" s="62"/>
      <c r="F504" s="62"/>
      <c r="G504" s="63"/>
      <c r="H504" s="47"/>
    </row>
    <row r="505" spans="1:8" x14ac:dyDescent="0.25">
      <c r="A505" s="62"/>
      <c r="B505" s="62"/>
      <c r="C505" s="62"/>
      <c r="D505" s="62"/>
      <c r="E505" s="62"/>
      <c r="F505" s="62"/>
      <c r="G505" s="63"/>
      <c r="H505" s="47"/>
    </row>
    <row r="506" spans="1:8" x14ac:dyDescent="0.25">
      <c r="A506" s="62"/>
      <c r="B506" s="62"/>
      <c r="C506" s="62"/>
      <c r="D506" s="62"/>
      <c r="E506" s="62"/>
      <c r="F506" s="62"/>
      <c r="G506" s="63"/>
      <c r="H506" s="47"/>
    </row>
    <row r="507" spans="1:8" x14ac:dyDescent="0.25">
      <c r="A507" s="62"/>
      <c r="B507" s="62"/>
      <c r="C507" s="62"/>
      <c r="D507" s="62"/>
      <c r="E507" s="62"/>
      <c r="F507" s="62"/>
      <c r="G507" s="63"/>
      <c r="H507" s="47"/>
    </row>
    <row r="508" spans="1:8" x14ac:dyDescent="0.25">
      <c r="A508" s="62"/>
      <c r="B508" s="62"/>
      <c r="C508" s="62"/>
      <c r="D508" s="62"/>
      <c r="E508" s="62"/>
      <c r="F508" s="62"/>
      <c r="G508" s="63"/>
      <c r="H508" s="47"/>
    </row>
    <row r="509" spans="1:8" x14ac:dyDescent="0.25">
      <c r="A509" s="62"/>
      <c r="B509" s="62"/>
      <c r="C509" s="62"/>
      <c r="D509" s="62"/>
      <c r="E509" s="62"/>
      <c r="F509" s="62"/>
      <c r="G509" s="63"/>
      <c r="H509" s="47"/>
    </row>
    <row r="510" spans="1:8" x14ac:dyDescent="0.25">
      <c r="A510" s="62"/>
      <c r="B510" s="62"/>
      <c r="C510" s="62"/>
      <c r="D510" s="62"/>
      <c r="E510" s="62"/>
      <c r="F510" s="62"/>
      <c r="G510" s="63"/>
      <c r="H510" s="47"/>
    </row>
    <row r="511" spans="1:8" x14ac:dyDescent="0.25">
      <c r="A511" s="62"/>
      <c r="B511" s="62"/>
      <c r="C511" s="62"/>
      <c r="D511" s="62"/>
      <c r="E511" s="62"/>
      <c r="F511" s="62"/>
      <c r="G511" s="63"/>
      <c r="H511" s="47"/>
    </row>
    <row r="512" spans="1:8" x14ac:dyDescent="0.25">
      <c r="A512" s="62"/>
      <c r="B512" s="62"/>
      <c r="C512" s="62"/>
      <c r="D512" s="62"/>
      <c r="E512" s="62"/>
      <c r="F512" s="62"/>
      <c r="G512" s="63"/>
      <c r="H512" s="47"/>
    </row>
    <row r="513" spans="1:8" x14ac:dyDescent="0.25">
      <c r="A513" s="62"/>
      <c r="B513" s="62"/>
      <c r="C513" s="62"/>
      <c r="D513" s="62"/>
      <c r="E513" s="62"/>
      <c r="F513" s="62"/>
      <c r="G513" s="63"/>
      <c r="H513" s="47"/>
    </row>
    <row r="514" spans="1:8" x14ac:dyDescent="0.25">
      <c r="A514" s="62"/>
      <c r="B514" s="62"/>
      <c r="C514" s="62"/>
      <c r="D514" s="62"/>
      <c r="E514" s="62"/>
      <c r="F514" s="62"/>
      <c r="G514" s="63"/>
      <c r="H514" s="47"/>
    </row>
    <row r="515" spans="1:8" x14ac:dyDescent="0.25">
      <c r="A515" s="62"/>
      <c r="B515" s="62"/>
      <c r="C515" s="62"/>
      <c r="D515" s="62"/>
      <c r="E515" s="62"/>
      <c r="F515" s="62"/>
      <c r="G515" s="63"/>
      <c r="H515" s="47"/>
    </row>
    <row r="516" spans="1:8" x14ac:dyDescent="0.25">
      <c r="A516" s="62"/>
      <c r="B516" s="62"/>
      <c r="C516" s="62"/>
      <c r="D516" s="62"/>
      <c r="E516" s="62"/>
      <c r="F516" s="62"/>
      <c r="G516" s="63"/>
      <c r="H516" s="47"/>
    </row>
    <row r="517" spans="1:8" x14ac:dyDescent="0.25">
      <c r="A517" s="62"/>
      <c r="B517" s="62"/>
      <c r="C517" s="62"/>
      <c r="D517" s="62"/>
      <c r="E517" s="62"/>
      <c r="F517" s="62"/>
      <c r="G517" s="63"/>
      <c r="H517" s="47"/>
    </row>
    <row r="518" spans="1:8" x14ac:dyDescent="0.25">
      <c r="A518" s="62"/>
      <c r="B518" s="62"/>
      <c r="C518" s="62"/>
      <c r="D518" s="62"/>
      <c r="E518" s="62"/>
      <c r="F518" s="62"/>
      <c r="G518" s="63"/>
      <c r="H518" s="47"/>
    </row>
    <row r="519" spans="1:8" x14ac:dyDescent="0.25">
      <c r="A519" s="62"/>
      <c r="B519" s="62"/>
      <c r="C519" s="62"/>
      <c r="D519" s="62"/>
      <c r="E519" s="62"/>
      <c r="F519" s="62"/>
      <c r="G519" s="63"/>
      <c r="H519" s="47"/>
    </row>
    <row r="520" spans="1:8" x14ac:dyDescent="0.25">
      <c r="A520" s="62"/>
      <c r="B520" s="62"/>
      <c r="C520" s="62"/>
      <c r="D520" s="62"/>
      <c r="E520" s="62"/>
      <c r="F520" s="62"/>
      <c r="G520" s="63"/>
      <c r="H520" s="47"/>
    </row>
    <row r="521" spans="1:8" x14ac:dyDescent="0.25">
      <c r="A521" s="62"/>
      <c r="B521" s="62"/>
      <c r="C521" s="62"/>
      <c r="D521" s="62"/>
      <c r="E521" s="62"/>
      <c r="F521" s="62"/>
      <c r="G521" s="63"/>
      <c r="H521" s="47"/>
    </row>
    <row r="522" spans="1:8" x14ac:dyDescent="0.25">
      <c r="A522" s="62"/>
      <c r="B522" s="62"/>
      <c r="C522" s="62"/>
      <c r="D522" s="62"/>
      <c r="E522" s="62"/>
      <c r="F522" s="62"/>
      <c r="G522" s="63"/>
      <c r="H522" s="47"/>
    </row>
    <row r="523" spans="1:8" x14ac:dyDescent="0.25">
      <c r="A523" s="62"/>
      <c r="B523" s="62"/>
      <c r="C523" s="62"/>
      <c r="D523" s="62"/>
      <c r="E523" s="62"/>
      <c r="F523" s="62"/>
      <c r="G523" s="63"/>
      <c r="H523" s="47"/>
    </row>
    <row r="524" spans="1:8" x14ac:dyDescent="0.25">
      <c r="A524" s="62"/>
      <c r="B524" s="62"/>
      <c r="C524" s="62"/>
      <c r="D524" s="62"/>
      <c r="E524" s="62"/>
      <c r="F524" s="62"/>
      <c r="G524" s="63"/>
      <c r="H524" s="47"/>
    </row>
    <row r="525" spans="1:8" x14ac:dyDescent="0.25">
      <c r="A525" s="62"/>
      <c r="B525" s="62"/>
      <c r="C525" s="62"/>
      <c r="D525" s="62"/>
      <c r="E525" s="62"/>
      <c r="F525" s="62"/>
      <c r="G525" s="63"/>
      <c r="H525" s="47"/>
    </row>
    <row r="526" spans="1:8" x14ac:dyDescent="0.25">
      <c r="A526" s="62"/>
      <c r="B526" s="62"/>
      <c r="C526" s="62"/>
      <c r="D526" s="62"/>
      <c r="E526" s="62"/>
      <c r="F526" s="62"/>
      <c r="G526" s="63"/>
      <c r="H526" s="47"/>
    </row>
    <row r="527" spans="1:8" x14ac:dyDescent="0.25">
      <c r="A527" s="62"/>
      <c r="B527" s="62"/>
      <c r="C527" s="62"/>
      <c r="D527" s="62"/>
      <c r="E527" s="62"/>
      <c r="F527" s="62"/>
      <c r="G527" s="63"/>
      <c r="H527" s="47"/>
    </row>
    <row r="528" spans="1:8" x14ac:dyDescent="0.25">
      <c r="A528" s="62"/>
      <c r="B528" s="62"/>
      <c r="C528" s="62"/>
      <c r="D528" s="62"/>
      <c r="E528" s="62"/>
      <c r="F528" s="62"/>
      <c r="G528" s="63"/>
      <c r="H528" s="47"/>
    </row>
    <row r="529" spans="1:8" x14ac:dyDescent="0.25">
      <c r="A529" s="62"/>
      <c r="B529" s="62"/>
      <c r="C529" s="62"/>
      <c r="D529" s="62"/>
      <c r="E529" s="62"/>
      <c r="F529" s="62"/>
      <c r="G529" s="63"/>
      <c r="H529" s="47"/>
    </row>
    <row r="530" spans="1:8" x14ac:dyDescent="0.25">
      <c r="A530" s="62"/>
      <c r="B530" s="62"/>
      <c r="C530" s="62"/>
      <c r="D530" s="62"/>
      <c r="E530" s="62"/>
      <c r="F530" s="62"/>
      <c r="G530" s="63"/>
      <c r="H530" s="47"/>
    </row>
    <row r="531" spans="1:8" x14ac:dyDescent="0.25">
      <c r="A531" s="62"/>
      <c r="B531" s="62"/>
      <c r="C531" s="62"/>
      <c r="D531" s="62"/>
      <c r="E531" s="62"/>
      <c r="F531" s="62"/>
      <c r="G531" s="63"/>
      <c r="H531" s="47"/>
    </row>
    <row r="532" spans="1:8" x14ac:dyDescent="0.25">
      <c r="A532" s="62"/>
      <c r="B532" s="62"/>
      <c r="C532" s="62"/>
      <c r="D532" s="62"/>
      <c r="E532" s="62"/>
      <c r="F532" s="62"/>
      <c r="G532" s="63"/>
      <c r="H532" s="47"/>
    </row>
    <row r="533" spans="1:8" x14ac:dyDescent="0.25">
      <c r="A533" s="62"/>
      <c r="B533" s="62"/>
      <c r="C533" s="62"/>
      <c r="D533" s="62"/>
      <c r="E533" s="62"/>
      <c r="F533" s="62"/>
      <c r="G533" s="63"/>
      <c r="H533" s="47"/>
    </row>
    <row r="534" spans="1:8" x14ac:dyDescent="0.25">
      <c r="A534" s="62"/>
      <c r="B534" s="62"/>
      <c r="C534" s="62"/>
      <c r="D534" s="62"/>
      <c r="E534" s="62"/>
      <c r="F534" s="62"/>
      <c r="G534" s="63"/>
      <c r="H534" s="47"/>
    </row>
    <row r="535" spans="1:8" x14ac:dyDescent="0.25">
      <c r="A535" s="62"/>
      <c r="B535" s="62"/>
      <c r="C535" s="62"/>
      <c r="D535" s="62"/>
      <c r="E535" s="62"/>
      <c r="F535" s="62"/>
      <c r="G535" s="63"/>
      <c r="H535" s="47"/>
    </row>
    <row r="536" spans="1:8" x14ac:dyDescent="0.25">
      <c r="A536" s="62"/>
      <c r="B536" s="62"/>
      <c r="C536" s="62"/>
      <c r="D536" s="62"/>
      <c r="E536" s="62"/>
      <c r="F536" s="62"/>
      <c r="G536" s="63"/>
      <c r="H536" s="47"/>
    </row>
    <row r="537" spans="1:8" x14ac:dyDescent="0.25">
      <c r="A537" s="62"/>
      <c r="B537" s="62"/>
      <c r="C537" s="62"/>
      <c r="D537" s="62"/>
      <c r="E537" s="62"/>
      <c r="F537" s="62"/>
      <c r="G537" s="63"/>
      <c r="H537" s="47"/>
    </row>
    <row r="538" spans="1:8" x14ac:dyDescent="0.25">
      <c r="A538" s="62"/>
      <c r="B538" s="62"/>
      <c r="C538" s="62"/>
      <c r="D538" s="62"/>
      <c r="E538" s="62"/>
      <c r="F538" s="62"/>
      <c r="G538" s="63"/>
      <c r="H538" s="47"/>
    </row>
    <row r="539" spans="1:8" x14ac:dyDescent="0.25">
      <c r="A539" s="62"/>
      <c r="B539" s="62"/>
      <c r="C539" s="62"/>
      <c r="D539" s="62"/>
      <c r="E539" s="62"/>
      <c r="F539" s="62"/>
      <c r="G539" s="63"/>
      <c r="H539" s="47"/>
    </row>
    <row r="540" spans="1:8" x14ac:dyDescent="0.25">
      <c r="A540" s="62"/>
      <c r="B540" s="62"/>
      <c r="C540" s="62"/>
      <c r="D540" s="62"/>
      <c r="E540" s="62"/>
      <c r="F540" s="62"/>
      <c r="G540" s="63"/>
      <c r="H540" s="47"/>
    </row>
    <row r="541" spans="1:8" x14ac:dyDescent="0.25">
      <c r="A541" s="62"/>
      <c r="B541" s="62"/>
      <c r="C541" s="62"/>
      <c r="D541" s="62"/>
      <c r="E541" s="62"/>
      <c r="F541" s="62"/>
      <c r="G541" s="63"/>
      <c r="H541" s="47"/>
    </row>
    <row r="542" spans="1:8" x14ac:dyDescent="0.25">
      <c r="A542" s="62"/>
      <c r="B542" s="62"/>
      <c r="C542" s="62"/>
      <c r="D542" s="62"/>
      <c r="E542" s="62"/>
      <c r="F542" s="62"/>
      <c r="G542" s="63"/>
      <c r="H542" s="47"/>
    </row>
    <row r="543" spans="1:8" x14ac:dyDescent="0.25">
      <c r="A543" s="62"/>
      <c r="B543" s="62"/>
      <c r="C543" s="62"/>
      <c r="D543" s="62"/>
      <c r="E543" s="62"/>
      <c r="F543" s="62"/>
      <c r="G543" s="63"/>
      <c r="H543" s="47"/>
    </row>
    <row r="544" spans="1:8" x14ac:dyDescent="0.25">
      <c r="A544" s="62"/>
      <c r="B544" s="62"/>
      <c r="C544" s="62"/>
      <c r="D544" s="62"/>
      <c r="E544" s="62"/>
      <c r="F544" s="62"/>
      <c r="G544" s="63"/>
      <c r="H544" s="47"/>
    </row>
    <row r="545" spans="1:8" x14ac:dyDescent="0.25">
      <c r="A545" s="62"/>
      <c r="B545" s="62"/>
      <c r="C545" s="62"/>
      <c r="D545" s="62"/>
      <c r="E545" s="62"/>
      <c r="F545" s="62"/>
      <c r="G545" s="63"/>
      <c r="H545" s="47"/>
    </row>
    <row r="546" spans="1:8" x14ac:dyDescent="0.25">
      <c r="A546" s="62"/>
      <c r="B546" s="62"/>
      <c r="C546" s="62"/>
      <c r="D546" s="62"/>
      <c r="E546" s="62"/>
      <c r="F546" s="62"/>
      <c r="G546" s="63"/>
      <c r="H546" s="47"/>
    </row>
    <row r="547" spans="1:8" x14ac:dyDescent="0.25">
      <c r="A547" s="62"/>
      <c r="B547" s="62"/>
      <c r="C547" s="62"/>
      <c r="D547" s="62"/>
      <c r="E547" s="62"/>
      <c r="F547" s="62"/>
      <c r="G547" s="63"/>
      <c r="H547" s="47"/>
    </row>
    <row r="548" spans="1:8" x14ac:dyDescent="0.25">
      <c r="A548" s="62"/>
      <c r="B548" s="62"/>
      <c r="C548" s="62"/>
      <c r="D548" s="62"/>
      <c r="E548" s="62"/>
      <c r="F548" s="62"/>
      <c r="G548" s="63"/>
      <c r="H548" s="47"/>
    </row>
    <row r="549" spans="1:8" x14ac:dyDescent="0.25">
      <c r="A549" s="62"/>
      <c r="B549" s="62"/>
      <c r="C549" s="62"/>
      <c r="D549" s="62"/>
      <c r="E549" s="62"/>
      <c r="F549" s="62"/>
      <c r="G549" s="63"/>
      <c r="H549" s="47"/>
    </row>
    <row r="550" spans="1:8" x14ac:dyDescent="0.25">
      <c r="A550" s="62"/>
      <c r="B550" s="62"/>
      <c r="C550" s="62"/>
      <c r="D550" s="62"/>
      <c r="E550" s="62"/>
      <c r="F550" s="62"/>
      <c r="G550" s="63"/>
      <c r="H550" s="47"/>
    </row>
    <row r="551" spans="1:8" x14ac:dyDescent="0.25">
      <c r="A551" s="62"/>
      <c r="B551" s="62"/>
      <c r="C551" s="62"/>
      <c r="D551" s="62"/>
      <c r="E551" s="62"/>
      <c r="F551" s="62"/>
      <c r="G551" s="63"/>
      <c r="H551" s="47"/>
    </row>
    <row r="552" spans="1:8" x14ac:dyDescent="0.25">
      <c r="A552" s="62"/>
      <c r="B552" s="62"/>
      <c r="C552" s="62"/>
      <c r="D552" s="62"/>
      <c r="E552" s="62"/>
      <c r="F552" s="62"/>
      <c r="G552" s="63"/>
      <c r="H552" s="47"/>
    </row>
    <row r="553" spans="1:8" x14ac:dyDescent="0.25">
      <c r="A553" s="62"/>
      <c r="B553" s="62"/>
      <c r="C553" s="62"/>
      <c r="D553" s="62"/>
      <c r="E553" s="62"/>
      <c r="F553" s="62"/>
      <c r="G553" s="63"/>
      <c r="H553" s="47"/>
    </row>
    <row r="554" spans="1:8" x14ac:dyDescent="0.25">
      <c r="A554" s="62"/>
      <c r="B554" s="62"/>
      <c r="C554" s="62"/>
      <c r="D554" s="62"/>
      <c r="E554" s="62"/>
      <c r="F554" s="62"/>
      <c r="G554" s="63"/>
      <c r="H554" s="47"/>
    </row>
    <row r="555" spans="1:8" x14ac:dyDescent="0.25">
      <c r="A555" s="62"/>
      <c r="B555" s="62"/>
      <c r="C555" s="62"/>
      <c r="D555" s="62"/>
      <c r="E555" s="62"/>
      <c r="F555" s="62"/>
      <c r="G555" s="63"/>
      <c r="H555" s="47"/>
    </row>
    <row r="556" spans="1:8" x14ac:dyDescent="0.25">
      <c r="A556" s="62"/>
      <c r="B556" s="62"/>
      <c r="C556" s="62"/>
      <c r="D556" s="62"/>
      <c r="E556" s="62"/>
      <c r="F556" s="62"/>
      <c r="G556" s="63"/>
      <c r="H556" s="47"/>
    </row>
    <row r="557" spans="1:8" x14ac:dyDescent="0.25">
      <c r="A557" s="62"/>
      <c r="B557" s="62"/>
      <c r="C557" s="62"/>
      <c r="D557" s="62"/>
      <c r="E557" s="62"/>
      <c r="F557" s="62"/>
      <c r="G557" s="63"/>
      <c r="H557" s="47"/>
    </row>
    <row r="558" spans="1:8" x14ac:dyDescent="0.25">
      <c r="A558" s="62"/>
      <c r="B558" s="62"/>
      <c r="C558" s="62"/>
      <c r="D558" s="62"/>
      <c r="E558" s="62"/>
      <c r="F558" s="62"/>
      <c r="G558" s="63"/>
      <c r="H558" s="47"/>
    </row>
    <row r="559" spans="1:8" x14ac:dyDescent="0.25">
      <c r="A559" s="62"/>
      <c r="B559" s="62"/>
      <c r="C559" s="62"/>
      <c r="D559" s="62"/>
      <c r="E559" s="62"/>
      <c r="F559" s="62"/>
      <c r="G559" s="63"/>
      <c r="H559" s="47"/>
    </row>
    <row r="560" spans="1:8" x14ac:dyDescent="0.25">
      <c r="A560" s="62"/>
      <c r="B560" s="62"/>
      <c r="C560" s="62"/>
      <c r="D560" s="62"/>
      <c r="E560" s="62"/>
      <c r="F560" s="62"/>
      <c r="G560" s="63"/>
      <c r="H560" s="47"/>
    </row>
    <row r="561" spans="1:8" x14ac:dyDescent="0.25">
      <c r="A561" s="62"/>
      <c r="B561" s="62"/>
      <c r="C561" s="62"/>
      <c r="D561" s="62"/>
      <c r="E561" s="62"/>
      <c r="F561" s="62"/>
      <c r="G561" s="63"/>
      <c r="H561" s="47"/>
    </row>
    <row r="562" spans="1:8" x14ac:dyDescent="0.25">
      <c r="A562" s="62"/>
      <c r="B562" s="62"/>
      <c r="C562" s="62"/>
      <c r="D562" s="62"/>
      <c r="E562" s="62"/>
      <c r="F562" s="62"/>
      <c r="G562" s="63"/>
      <c r="H562" s="47"/>
    </row>
    <row r="563" spans="1:8" x14ac:dyDescent="0.25">
      <c r="A563" s="62"/>
      <c r="B563" s="62"/>
      <c r="C563" s="62"/>
      <c r="D563" s="62"/>
      <c r="E563" s="62"/>
      <c r="F563" s="62"/>
      <c r="G563" s="63"/>
      <c r="H563" s="47"/>
    </row>
    <row r="564" spans="1:8" x14ac:dyDescent="0.25">
      <c r="A564" s="62"/>
      <c r="B564" s="62"/>
      <c r="C564" s="62"/>
      <c r="D564" s="62"/>
      <c r="E564" s="62"/>
      <c r="F564" s="62"/>
      <c r="G564" s="63"/>
      <c r="H564" s="47"/>
    </row>
    <row r="565" spans="1:8" x14ac:dyDescent="0.25">
      <c r="A565" s="62"/>
      <c r="B565" s="62"/>
      <c r="C565" s="62"/>
      <c r="D565" s="62"/>
      <c r="E565" s="62"/>
      <c r="F565" s="62"/>
      <c r="G565" s="63"/>
      <c r="H565" s="47"/>
    </row>
    <row r="566" spans="1:8" x14ac:dyDescent="0.25">
      <c r="A566" s="62"/>
      <c r="B566" s="62"/>
      <c r="C566" s="62"/>
      <c r="D566" s="62"/>
      <c r="E566" s="62"/>
      <c r="F566" s="62"/>
      <c r="G566" s="63"/>
      <c r="H566" s="47"/>
    </row>
    <row r="567" spans="1:8" x14ac:dyDescent="0.25">
      <c r="A567" s="62"/>
      <c r="B567" s="62"/>
      <c r="C567" s="62"/>
      <c r="D567" s="62"/>
      <c r="E567" s="62"/>
      <c r="F567" s="62"/>
      <c r="G567" s="63"/>
      <c r="H567" s="47"/>
    </row>
    <row r="568" spans="1:8" x14ac:dyDescent="0.25">
      <c r="A568" s="62"/>
      <c r="B568" s="62"/>
      <c r="C568" s="62"/>
      <c r="D568" s="62"/>
      <c r="E568" s="62"/>
      <c r="F568" s="62"/>
      <c r="G568" s="63"/>
      <c r="H568" s="47"/>
    </row>
    <row r="569" spans="1:8" x14ac:dyDescent="0.25">
      <c r="A569" s="62"/>
      <c r="B569" s="62"/>
      <c r="C569" s="62"/>
      <c r="D569" s="62"/>
      <c r="E569" s="62"/>
      <c r="F569" s="62"/>
      <c r="G569" s="63"/>
      <c r="H569" s="47"/>
    </row>
    <row r="570" spans="1:8" x14ac:dyDescent="0.25">
      <c r="A570" s="62"/>
      <c r="B570" s="62"/>
      <c r="C570" s="62"/>
      <c r="D570" s="62"/>
      <c r="E570" s="62"/>
      <c r="F570" s="62"/>
      <c r="G570" s="63"/>
      <c r="H570" s="47"/>
    </row>
    <row r="571" spans="1:8" x14ac:dyDescent="0.25">
      <c r="A571" s="62"/>
      <c r="B571" s="62"/>
      <c r="C571" s="62"/>
      <c r="D571" s="62"/>
      <c r="E571" s="62"/>
      <c r="F571" s="62"/>
      <c r="G571" s="63"/>
      <c r="H571" s="47"/>
    </row>
    <row r="572" spans="1:8" x14ac:dyDescent="0.25">
      <c r="A572" s="62"/>
      <c r="B572" s="62"/>
      <c r="C572" s="62"/>
      <c r="D572" s="62"/>
      <c r="E572" s="62"/>
      <c r="F572" s="62"/>
      <c r="G572" s="63"/>
      <c r="H572" s="47"/>
    </row>
    <row r="573" spans="1:8" x14ac:dyDescent="0.25">
      <c r="A573" s="62"/>
      <c r="B573" s="62"/>
      <c r="C573" s="62"/>
      <c r="D573" s="62"/>
      <c r="E573" s="62"/>
      <c r="F573" s="62"/>
      <c r="G573" s="63"/>
      <c r="H573" s="47"/>
    </row>
    <row r="574" spans="1:8" x14ac:dyDescent="0.25">
      <c r="A574" s="62"/>
      <c r="B574" s="62"/>
      <c r="C574" s="62"/>
      <c r="D574" s="62"/>
      <c r="E574" s="62"/>
      <c r="F574" s="62"/>
      <c r="G574" s="63"/>
      <c r="H574" s="47"/>
    </row>
    <row r="575" spans="1:8" x14ac:dyDescent="0.25">
      <c r="A575" s="62"/>
      <c r="B575" s="62"/>
      <c r="C575" s="62"/>
      <c r="D575" s="62"/>
      <c r="E575" s="62"/>
      <c r="F575" s="62"/>
      <c r="G575" s="63"/>
      <c r="H575" s="47"/>
    </row>
    <row r="576" spans="1:8" x14ac:dyDescent="0.25">
      <c r="A576" s="62"/>
      <c r="B576" s="62"/>
      <c r="C576" s="62"/>
      <c r="D576" s="62"/>
      <c r="E576" s="62"/>
      <c r="F576" s="62"/>
      <c r="G576" s="63"/>
      <c r="H576" s="47"/>
    </row>
    <row r="577" spans="1:8" x14ac:dyDescent="0.25">
      <c r="A577" s="62"/>
      <c r="B577" s="62"/>
      <c r="C577" s="62"/>
      <c r="D577" s="62"/>
      <c r="E577" s="62"/>
      <c r="F577" s="62"/>
      <c r="G577" s="63"/>
      <c r="H577" s="47"/>
    </row>
    <row r="578" spans="1:8" x14ac:dyDescent="0.25">
      <c r="A578" s="62"/>
      <c r="B578" s="62"/>
      <c r="C578" s="62"/>
      <c r="D578" s="62"/>
      <c r="E578" s="62"/>
      <c r="F578" s="62"/>
      <c r="G578" s="63"/>
      <c r="H578" s="47"/>
    </row>
    <row r="579" spans="1:8" x14ac:dyDescent="0.25">
      <c r="A579" s="62"/>
      <c r="B579" s="62"/>
      <c r="C579" s="62"/>
      <c r="D579" s="62"/>
      <c r="E579" s="62"/>
      <c r="F579" s="62"/>
      <c r="G579" s="63"/>
      <c r="H579" s="47"/>
    </row>
    <row r="580" spans="1:8" x14ac:dyDescent="0.25">
      <c r="A580" s="62"/>
      <c r="B580" s="62"/>
      <c r="C580" s="62"/>
      <c r="D580" s="62"/>
      <c r="E580" s="62"/>
      <c r="F580" s="62"/>
      <c r="G580" s="63"/>
      <c r="H580" s="47"/>
    </row>
    <row r="581" spans="1:8" x14ac:dyDescent="0.25">
      <c r="A581" s="62"/>
      <c r="B581" s="62"/>
      <c r="C581" s="62"/>
      <c r="D581" s="62"/>
      <c r="E581" s="62"/>
      <c r="F581" s="62"/>
      <c r="G581" s="63"/>
      <c r="H581" s="47"/>
    </row>
    <row r="582" spans="1:8" x14ac:dyDescent="0.25">
      <c r="A582" s="62"/>
      <c r="B582" s="62"/>
      <c r="C582" s="62"/>
      <c r="D582" s="62"/>
      <c r="E582" s="62"/>
      <c r="F582" s="62"/>
      <c r="G582" s="63"/>
      <c r="H582" s="47"/>
    </row>
    <row r="583" spans="1:8" x14ac:dyDescent="0.25">
      <c r="A583" s="62"/>
      <c r="B583" s="62"/>
      <c r="C583" s="62"/>
      <c r="D583" s="62"/>
      <c r="E583" s="62"/>
      <c r="F583" s="62"/>
      <c r="G583" s="63"/>
      <c r="H583" s="47"/>
    </row>
    <row r="584" spans="1:8" x14ac:dyDescent="0.25">
      <c r="A584" s="62"/>
      <c r="B584" s="62"/>
      <c r="C584" s="62"/>
      <c r="D584" s="62"/>
      <c r="E584" s="62"/>
      <c r="F584" s="62"/>
      <c r="G584" s="63"/>
      <c r="H584" s="47"/>
    </row>
    <row r="585" spans="1:8" x14ac:dyDescent="0.25">
      <c r="A585" s="62"/>
      <c r="B585" s="62"/>
      <c r="C585" s="62"/>
      <c r="D585" s="62"/>
      <c r="E585" s="62"/>
      <c r="F585" s="62"/>
      <c r="G585" s="63"/>
      <c r="H585" s="47"/>
    </row>
    <row r="586" spans="1:8" x14ac:dyDescent="0.25">
      <c r="A586" s="62"/>
      <c r="B586" s="62"/>
      <c r="C586" s="62"/>
      <c r="D586" s="62"/>
      <c r="E586" s="62"/>
      <c r="F586" s="62"/>
      <c r="G586" s="63"/>
      <c r="H586" s="47"/>
    </row>
    <row r="587" spans="1:8" x14ac:dyDescent="0.25">
      <c r="A587" s="62"/>
      <c r="B587" s="62"/>
      <c r="C587" s="62"/>
      <c r="D587" s="62"/>
      <c r="E587" s="62"/>
      <c r="F587" s="62"/>
      <c r="G587" s="63"/>
      <c r="H587" s="47"/>
    </row>
    <row r="588" spans="1:8" x14ac:dyDescent="0.25">
      <c r="A588" s="62"/>
      <c r="B588" s="62"/>
      <c r="C588" s="62"/>
      <c r="D588" s="62"/>
      <c r="E588" s="62"/>
      <c r="F588" s="62"/>
      <c r="G588" s="63"/>
      <c r="H588" s="47"/>
    </row>
    <row r="589" spans="1:8" x14ac:dyDescent="0.25">
      <c r="A589" s="62"/>
      <c r="B589" s="62"/>
      <c r="C589" s="62"/>
      <c r="D589" s="62"/>
      <c r="E589" s="62"/>
      <c r="F589" s="62"/>
      <c r="G589" s="63"/>
      <c r="H589" s="47"/>
    </row>
    <row r="590" spans="1:8" x14ac:dyDescent="0.25">
      <c r="A590" s="62"/>
      <c r="B590" s="62"/>
      <c r="C590" s="62"/>
      <c r="D590" s="62"/>
      <c r="E590" s="62"/>
      <c r="F590" s="62"/>
      <c r="G590" s="63"/>
      <c r="H590" s="47"/>
    </row>
    <row r="591" spans="1:8" x14ac:dyDescent="0.25">
      <c r="A591" s="62"/>
      <c r="B591" s="62"/>
      <c r="C591" s="62"/>
      <c r="D591" s="62"/>
      <c r="E591" s="62"/>
      <c r="F591" s="62"/>
      <c r="G591" s="63"/>
      <c r="H591" s="47"/>
    </row>
    <row r="592" spans="1:8" x14ac:dyDescent="0.25">
      <c r="A592" s="62"/>
      <c r="B592" s="62"/>
      <c r="C592" s="62"/>
      <c r="D592" s="62"/>
      <c r="E592" s="62"/>
      <c r="F592" s="62"/>
      <c r="G592" s="63"/>
      <c r="H592" s="47"/>
    </row>
    <row r="593" spans="1:8" x14ac:dyDescent="0.25">
      <c r="A593" s="62"/>
      <c r="B593" s="62"/>
      <c r="C593" s="62"/>
      <c r="D593" s="62"/>
      <c r="E593" s="62"/>
      <c r="F593" s="62"/>
      <c r="G593" s="63"/>
      <c r="H593" s="47"/>
    </row>
    <row r="594" spans="1:8" x14ac:dyDescent="0.25">
      <c r="A594" s="62"/>
      <c r="B594" s="62"/>
      <c r="C594" s="62"/>
      <c r="D594" s="62"/>
      <c r="E594" s="62"/>
      <c r="F594" s="62"/>
      <c r="G594" s="63"/>
      <c r="H594" s="47"/>
    </row>
    <row r="595" spans="1:8" x14ac:dyDescent="0.25">
      <c r="A595" s="62"/>
      <c r="B595" s="62"/>
      <c r="C595" s="62"/>
      <c r="D595" s="62"/>
      <c r="E595" s="62"/>
      <c r="F595" s="62"/>
      <c r="G595" s="63"/>
      <c r="H595" s="47"/>
    </row>
    <row r="596" spans="1:8" x14ac:dyDescent="0.25">
      <c r="A596" s="62"/>
      <c r="B596" s="62"/>
      <c r="C596" s="62"/>
      <c r="D596" s="62"/>
      <c r="E596" s="62"/>
      <c r="F596" s="62"/>
      <c r="G596" s="63"/>
      <c r="H596" s="47"/>
    </row>
    <row r="597" spans="1:8" x14ac:dyDescent="0.25">
      <c r="A597" s="62"/>
      <c r="B597" s="62"/>
      <c r="C597" s="62"/>
      <c r="D597" s="62"/>
      <c r="E597" s="62"/>
      <c r="F597" s="62"/>
      <c r="G597" s="63"/>
      <c r="H597" s="47"/>
    </row>
    <row r="598" spans="1:8" x14ac:dyDescent="0.25">
      <c r="A598" s="62"/>
      <c r="B598" s="62"/>
      <c r="C598" s="62"/>
      <c r="D598" s="62"/>
      <c r="E598" s="62"/>
      <c r="F598" s="62"/>
      <c r="G598" s="63"/>
      <c r="H598" s="47"/>
    </row>
    <row r="599" spans="1:8" x14ac:dyDescent="0.25">
      <c r="A599" s="62"/>
      <c r="B599" s="62"/>
      <c r="C599" s="62"/>
      <c r="D599" s="62"/>
      <c r="E599" s="62"/>
      <c r="F599" s="62"/>
      <c r="G599" s="63"/>
      <c r="H599" s="47"/>
    </row>
    <row r="600" spans="1:8" x14ac:dyDescent="0.25">
      <c r="A600" s="62"/>
      <c r="B600" s="62"/>
      <c r="C600" s="62"/>
      <c r="D600" s="62"/>
      <c r="E600" s="62"/>
      <c r="F600" s="62"/>
      <c r="G600" s="63"/>
      <c r="H600" s="47"/>
    </row>
    <row r="601" spans="1:8" x14ac:dyDescent="0.25">
      <c r="A601" s="62"/>
      <c r="B601" s="62"/>
      <c r="C601" s="62"/>
      <c r="D601" s="62"/>
      <c r="E601" s="62"/>
      <c r="F601" s="62"/>
      <c r="G601" s="63"/>
      <c r="H601" s="47"/>
    </row>
    <row r="602" spans="1:8" x14ac:dyDescent="0.25">
      <c r="A602" s="62"/>
      <c r="B602" s="62"/>
      <c r="C602" s="62"/>
      <c r="D602" s="62"/>
      <c r="E602" s="62"/>
      <c r="F602" s="62"/>
      <c r="G602" s="63"/>
      <c r="H602" s="47"/>
    </row>
    <row r="603" spans="1:8" x14ac:dyDescent="0.25">
      <c r="A603" s="62"/>
      <c r="B603" s="62"/>
      <c r="C603" s="62"/>
      <c r="D603" s="62"/>
      <c r="E603" s="62"/>
      <c r="F603" s="62"/>
      <c r="G603" s="63"/>
      <c r="H603" s="47"/>
    </row>
    <row r="604" spans="1:8" x14ac:dyDescent="0.25">
      <c r="A604" s="62"/>
      <c r="B604" s="62"/>
      <c r="C604" s="62"/>
      <c r="D604" s="62"/>
      <c r="E604" s="62"/>
      <c r="F604" s="62"/>
      <c r="G604" s="63"/>
      <c r="H604" s="47"/>
    </row>
    <row r="605" spans="1:8" x14ac:dyDescent="0.25">
      <c r="A605" s="62"/>
      <c r="B605" s="62"/>
      <c r="C605" s="62"/>
      <c r="D605" s="62"/>
      <c r="E605" s="62"/>
      <c r="F605" s="62"/>
      <c r="G605" s="63"/>
      <c r="H605" s="47"/>
    </row>
    <row r="606" spans="1:8" x14ac:dyDescent="0.25">
      <c r="A606" s="62"/>
      <c r="B606" s="62"/>
      <c r="C606" s="62"/>
      <c r="D606" s="62"/>
      <c r="E606" s="62"/>
      <c r="F606" s="62"/>
      <c r="G606" s="63"/>
      <c r="H606" s="47"/>
    </row>
    <row r="607" spans="1:8" x14ac:dyDescent="0.25">
      <c r="A607" s="62"/>
      <c r="B607" s="62"/>
      <c r="C607" s="62"/>
      <c r="D607" s="62"/>
      <c r="E607" s="62"/>
      <c r="F607" s="62"/>
      <c r="G607" s="63"/>
      <c r="H607" s="47"/>
    </row>
    <row r="608" spans="1:8" x14ac:dyDescent="0.25">
      <c r="A608" s="62"/>
      <c r="B608" s="62"/>
      <c r="C608" s="62"/>
      <c r="D608" s="62"/>
      <c r="E608" s="62"/>
      <c r="F608" s="62"/>
      <c r="G608" s="63"/>
      <c r="H608" s="47"/>
    </row>
    <row r="609" spans="1:8" x14ac:dyDescent="0.25">
      <c r="A609" s="62"/>
      <c r="B609" s="62"/>
      <c r="C609" s="62"/>
      <c r="D609" s="62"/>
      <c r="E609" s="62"/>
      <c r="F609" s="62"/>
      <c r="G609" s="63"/>
      <c r="H609" s="47"/>
    </row>
    <row r="610" spans="1:8" x14ac:dyDescent="0.25">
      <c r="A610" s="62"/>
      <c r="B610" s="62"/>
      <c r="C610" s="62"/>
      <c r="D610" s="62"/>
      <c r="E610" s="62"/>
      <c r="F610" s="62"/>
      <c r="G610" s="63"/>
      <c r="H610" s="47"/>
    </row>
    <row r="611" spans="1:8" x14ac:dyDescent="0.25">
      <c r="A611" s="62"/>
      <c r="B611" s="62"/>
      <c r="C611" s="62"/>
      <c r="D611" s="62"/>
      <c r="E611" s="62"/>
      <c r="F611" s="62"/>
      <c r="G611" s="63"/>
      <c r="H611" s="47"/>
    </row>
    <row r="612" spans="1:8" x14ac:dyDescent="0.25">
      <c r="A612" s="62"/>
      <c r="B612" s="62"/>
      <c r="C612" s="62"/>
      <c r="D612" s="62"/>
      <c r="E612" s="62"/>
      <c r="F612" s="62"/>
      <c r="G612" s="63"/>
      <c r="H612" s="47"/>
    </row>
    <row r="613" spans="1:8" x14ac:dyDescent="0.25">
      <c r="A613" s="62"/>
      <c r="B613" s="62"/>
      <c r="C613" s="62"/>
      <c r="D613" s="62"/>
      <c r="E613" s="62"/>
      <c r="F613" s="62"/>
      <c r="G613" s="63"/>
      <c r="H613" s="47"/>
    </row>
    <row r="614" spans="1:8" x14ac:dyDescent="0.25">
      <c r="A614" s="62"/>
      <c r="B614" s="62"/>
      <c r="C614" s="62"/>
      <c r="D614" s="62"/>
      <c r="E614" s="62"/>
      <c r="F614" s="62"/>
      <c r="G614" s="63"/>
      <c r="H614" s="47"/>
    </row>
    <row r="615" spans="1:8" x14ac:dyDescent="0.25">
      <c r="A615" s="62"/>
      <c r="B615" s="62"/>
      <c r="C615" s="62"/>
      <c r="D615" s="62"/>
      <c r="E615" s="62"/>
      <c r="F615" s="62"/>
      <c r="G615" s="63"/>
      <c r="H615" s="47"/>
    </row>
    <row r="616" spans="1:8" x14ac:dyDescent="0.25">
      <c r="A616" s="62"/>
      <c r="B616" s="62"/>
      <c r="C616" s="62"/>
      <c r="D616" s="62"/>
      <c r="E616" s="62"/>
      <c r="F616" s="62"/>
      <c r="G616" s="63"/>
      <c r="H616" s="47"/>
    </row>
    <row r="617" spans="1:8" x14ac:dyDescent="0.25">
      <c r="A617" s="62"/>
      <c r="B617" s="62"/>
      <c r="C617" s="62"/>
      <c r="D617" s="62"/>
      <c r="E617" s="62"/>
      <c r="F617" s="62"/>
      <c r="G617" s="63"/>
      <c r="H617" s="47"/>
    </row>
    <row r="618" spans="1:8" x14ac:dyDescent="0.25">
      <c r="A618" s="62"/>
      <c r="B618" s="62"/>
      <c r="C618" s="62"/>
      <c r="D618" s="62"/>
      <c r="E618" s="62"/>
      <c r="F618" s="62"/>
      <c r="G618" s="63"/>
      <c r="H618" s="47"/>
    </row>
    <row r="619" spans="1:8" x14ac:dyDescent="0.25">
      <c r="A619" s="62"/>
      <c r="B619" s="62"/>
      <c r="C619" s="62"/>
      <c r="D619" s="62"/>
      <c r="E619" s="62"/>
      <c r="F619" s="62"/>
      <c r="G619" s="63"/>
      <c r="H619" s="47"/>
    </row>
    <row r="620" spans="1:8" x14ac:dyDescent="0.25">
      <c r="A620" s="62"/>
      <c r="B620" s="62"/>
      <c r="C620" s="62"/>
      <c r="D620" s="62"/>
      <c r="E620" s="62"/>
      <c r="F620" s="62"/>
      <c r="G620" s="63"/>
      <c r="H620" s="47"/>
    </row>
    <row r="621" spans="1:8" x14ac:dyDescent="0.25">
      <c r="A621" s="62"/>
      <c r="B621" s="62"/>
      <c r="C621" s="62"/>
      <c r="D621" s="62"/>
      <c r="E621" s="62"/>
      <c r="F621" s="62"/>
      <c r="G621" s="63"/>
      <c r="H621" s="47"/>
    </row>
    <row r="622" spans="1:8" x14ac:dyDescent="0.25">
      <c r="A622" s="62"/>
      <c r="B622" s="62"/>
      <c r="C622" s="62"/>
      <c r="D622" s="62"/>
      <c r="E622" s="62"/>
      <c r="F622" s="62"/>
      <c r="G622" s="63"/>
      <c r="H622" s="47"/>
    </row>
    <row r="623" spans="1:8" x14ac:dyDescent="0.25">
      <c r="A623" s="62"/>
      <c r="B623" s="62"/>
      <c r="C623" s="62"/>
      <c r="D623" s="62"/>
      <c r="E623" s="62"/>
      <c r="F623" s="62"/>
      <c r="G623" s="63"/>
      <c r="H623" s="47"/>
    </row>
    <row r="624" spans="1:8" x14ac:dyDescent="0.25">
      <c r="A624" s="62"/>
      <c r="B624" s="62"/>
      <c r="C624" s="62"/>
      <c r="D624" s="62"/>
      <c r="E624" s="62"/>
      <c r="F624" s="62"/>
      <c r="G624" s="63"/>
      <c r="H624" s="47"/>
    </row>
    <row r="625" spans="1:8" x14ac:dyDescent="0.25">
      <c r="A625" s="62"/>
      <c r="B625" s="62"/>
      <c r="C625" s="62"/>
      <c r="D625" s="62"/>
      <c r="E625" s="62"/>
      <c r="F625" s="62"/>
      <c r="G625" s="63"/>
      <c r="H625" s="47"/>
    </row>
    <row r="626" spans="1:8" x14ac:dyDescent="0.25">
      <c r="A626" s="64"/>
      <c r="B626" s="64"/>
      <c r="C626" s="64"/>
      <c r="D626" s="64"/>
      <c r="E626" s="64"/>
      <c r="F626" s="64"/>
      <c r="G626" s="63"/>
      <c r="H626" s="47"/>
    </row>
  </sheetData>
  <mergeCells count="13">
    <mergeCell ref="A346:G346"/>
    <mergeCell ref="A348:G348"/>
    <mergeCell ref="A349:G349"/>
    <mergeCell ref="A204:G204"/>
    <mergeCell ref="A207:G207"/>
    <mergeCell ref="A320:G320"/>
    <mergeCell ref="A323:G323"/>
    <mergeCell ref="A324:G324"/>
    <mergeCell ref="A1:G1"/>
    <mergeCell ref="A2:G2"/>
    <mergeCell ref="A124:G124"/>
    <mergeCell ref="A127:G127"/>
    <mergeCell ref="A128:G128"/>
  </mergeCells>
  <phoneticPr fontId="12" type="noConversion"/>
  <pageMargins left="0.7" right="0.7" top="0.75" bottom="0.75" header="0.3" footer="0.3"/>
  <pageSetup paperSize="9" scale="87" orientation="portrait" r:id="rId1"/>
  <rowBreaks count="14" manualBreakCount="14">
    <brk id="24" max="16383" man="1"/>
    <brk id="45" max="16383" man="1"/>
    <brk id="86" max="16383" man="1"/>
    <brk id="125" max="16383" man="1"/>
    <brk id="141" max="6" man="1"/>
    <brk id="153" max="6" man="1"/>
    <brk id="180" max="6" man="1"/>
    <brk id="205" max="6" man="1"/>
    <brk id="226" max="6" man="1"/>
    <brk id="243" max="6" man="1"/>
    <brk id="286" max="6" man="1"/>
    <brk id="321" max="6" man="1"/>
    <brk id="346" max="6" man="1"/>
    <brk id="367" max="6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Genel Tablolar</vt:lpstr>
      <vt:lpstr>Bağımsız Birim</vt:lpstr>
      <vt:lpstr>'Bağımsız Birim'!Yazdırma_Alanı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Burhan ÇAKMAK</cp:lastModifiedBy>
  <cp:lastPrinted>2026-06-03T08:42:04Z</cp:lastPrinted>
  <dcterms:created xsi:type="dcterms:W3CDTF">2015-06-05T18:19:34Z</dcterms:created>
  <dcterms:modified xsi:type="dcterms:W3CDTF">2026-07-17T13:41:44Z</dcterms:modified>
</cp:coreProperties>
</file>